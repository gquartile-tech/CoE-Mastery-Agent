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15" documentId="8_{070950E3-E89F-4947-8F13-1A3D60E112EC}" xr6:coauthVersionLast="47" xr6:coauthVersionMax="47" xr10:uidLastSave="{221666D1-6C00-4510-9154-06A6654474B5}"/>
  <bookViews>
    <workbookView xWindow="-28920" yWindow="-15"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<sst xmlns="http://schemas.openxmlformats.org/spreadsheetml/2006/main" count="239" uniqueCount="195">
  <si>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</si>
  <si>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</si>
  <si>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</si>
  <si>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</si>
  <si>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</si>
  <si>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</si>
  <si>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</si>
  <si>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</si>
  <si>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</si>
  <si>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</si>
  <si>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</si>
  <si>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</si>
  <si>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</si>
  <si>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</si>
  <si>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</si>
  <si>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</si>
  <si>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</si>
  <si>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</si>
  <si>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</si>
  <si>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</si>
  <si>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</si>
  <si>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</si>
  <si>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</si>
  <si>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</si>
  <si>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</si>
  <si>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</si>
  <si>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</si>
  <si>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</si>
  <si>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</si>
  <si>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</si>
  <si>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</si>
  <si>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</si>
  <si>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</si>
  <si>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</si>
  <si>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</si>
  <si>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</si>
  <si>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</si>
  <si>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</si>
  <si>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</si>
  <si>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</si>
  <si>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</si>
  <si>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</si>
  <si>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</si>
  <si>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</si>
  <si>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</si>
  <si>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</si>
  <si>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</si>
  <si>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</si>
  <si>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</si>
  <si>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</si>
  <si>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</si>
  <si>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</si>
  <si>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</si>
  <si>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</si>
  <si>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</si>
  <si>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</si>
  <si>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</si>
  <si>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</si>
  <si>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</si>
  <si>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</si>
  <si>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</si>
  <si>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</si>
  <si>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</si>
  <si>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</si>
  <si>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</si>
  <si>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</si>
  <si>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</si>
  <si>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</si>
  <si>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</si>
  <si>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</si>
  <si>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</si>
  <si>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</si>
  <si>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</si>
  <si>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</si>
  <si>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</si>
  <si>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</si>
  <si>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</si>
  <si>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</si>
  <si>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</si>
  <si>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</si>
  <si>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</si>
  <si>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</si>
  <si>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</si>
  <si>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</si>
  <si>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</si>
  <si>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</si>
  <si>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</si>
  <si>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</si>
  <si>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</si>
  <si>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</si>
  <si>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</si>
  <si>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</si>
  <si>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</si>
  <si>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</si>
  <si>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</si>
  <si>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</si>
  <si>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</si>
  <si>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</si>
  <si>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</si>
  <si>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</si>
  <si>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</si>
  <si>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</si>
  <si>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</si>
  <si>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</si>
  <si>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</si>
  <si>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</si>
  <si>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</si>
  <si>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</si>
  <si>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</si>
  <si>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</si>
  <si>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</si>
  <si>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</si>
  <si>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</si>
  <si>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</si>
  <si>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</si>
  <si>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</si>
  <si>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</si>
  <si>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</si>
  <si>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</si>
  <si>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</si>
  <si>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</si>
  <si>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</si>
  <si>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</si>
  <si>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</si>
  <si>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</si>
  <si>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</si>
  <si>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</si>
  <si>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</si>
  <si>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</si>
  <si>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</si>
  <si>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</si>
  <si>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</si>
  <si>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</si>
  <si>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</si>
  <si>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</si>
  <si>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</si>
  <si>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</si>
  <si>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</si>
  <si>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</si>
  <si>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</si>
  <si>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</si>
  <si>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</si>
  <si>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</si>
  <si>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</si>
  <si>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</si>
  <si>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</si>
  <si>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</si>
  <si>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</si>
  <si>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</si>
  <si>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</si>
  <si>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</si>
  <si>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</si>
  <si>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</si>
  <si>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</si>
  <si>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</si>
  <si>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</si>
  <si>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</si>
  <si>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</si>
  <si>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</si>
  <si>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</si>
  <si>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</si>
  <si>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</si>
  <si>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</si>
  <si>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</si>
  <si>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</si>
  <si>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</si>
  <si>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</si>
  <si>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</si>
  <si>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</si>
  <si>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</si>
  <si>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</si>
  <si>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</si>
  <si>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</si>
  <si>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</si>
  <si>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</si>
  <si>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</si>
  <si>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</si>
  <si>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</si>
  <si>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</si>
  <si>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</si>
  <si>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</si>
  <si>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</si>
  <si>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</si>
  <si>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</si>
  <si>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</si>
  <si>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</si>
  <si>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</si>
  <si>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</si>
  <si>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</si>
  <si>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</si>
  <si>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</si>
  <si>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</si>
  <si>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</si>
  <si>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</si>
  <si>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Revisit your Project Information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</si>
</sst>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0">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9" fillId="5" borderId="8"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51"/>
  <sheetViews>
    <sheetView tabSelected="1" zoomScale="70" zoomScaleNormal="70" workbookViewId="0">
      <pane ySplit="8" topLeftCell="A18" activePane="bottomLeft" state="frozen"/>
      <selection pane="bottomLeft" activeCell="A28" sqref="A28"/>
    </sheetView>
  </sheetViews>
  <sheetFormatPr defaultRowHeight="14.4" x14ac:dyDescent="0.3"/>
  <cols>
    <col min="1" max="1" width="21.44140625" customWidth="1"/>
    <col min="2" max="2" width="27.5546875" customWidth="1"/>
    <col min="3" max="3" width="38.21875" customWidth="1"/>
    <col min="4" max="4" width="76.44140625" style="14" customWidth="1"/>
    <col min="5" max="6" width="50.21875" style="14"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7" ht="28.05" customHeight="1" thickBot="1" x14ac:dyDescent="0.35">
      <c r="A1" s="39" t="s">
        <v>57</v>
      </c>
      <c r="B1" s="40"/>
      <c r="C1" s="41"/>
      <c r="D1" s="41"/>
      <c r="E1" s="41"/>
      <c r="F1" s="41"/>
      <c r="G1" s="41"/>
    </row>
    <row r="2" spans="1:7" ht="15" thickBot="1" x14ac:dyDescent="0.35">
      <c r="A2" s="17" t="s">
        <v>70</v>
      </c>
      <c r="B2" s="19" t="s">
        <v>71</v>
      </c>
      <c r="C2" s="8"/>
      <c r="D2" s="42"/>
      <c r="E2" s="42"/>
      <c r="F2" s="43"/>
      <c r="G2" s="43"/>
    </row>
    <row r="3" spans="1:7" ht="15" thickBot="1" x14ac:dyDescent="0.35">
      <c r="A3" s="16" t="s">
        <v>47</v>
      </c>
      <c r="B3" s="18" t="s">
        <v>48</v>
      </c>
      <c r="D3" s="15"/>
      <c r="E3"/>
      <c r="F3"/>
    </row>
    <row r="4" spans="1:7" ht="14.4" customHeight="1" thickBot="1" x14ac:dyDescent="0.35">
      <c r="A4" s="17" t="s">
        <v>46</v>
      </c>
      <c r="B4" s="21" t="s">
        <v>49</v>
      </c>
      <c r="C4" s="8"/>
      <c r="D4" s="42"/>
      <c r="E4" s="42"/>
      <c r="F4" s="43"/>
      <c r="G4" s="43"/>
    </row>
    <row r="5" spans="1:7" ht="14.4" customHeight="1" thickBot="1" x14ac:dyDescent="0.35">
      <c r="A5" s="17" t="s">
        <v>50</v>
      </c>
      <c r="B5" s="20">
        <v>46083.684884259259</v>
      </c>
      <c r="C5" s="8"/>
      <c r="D5" s="15"/>
      <c r="E5"/>
      <c r="F5"/>
    </row>
    <row r="6" spans="1:7" ht="15" thickBot="1" x14ac:dyDescent="0.35">
      <c r="A6" s="8"/>
      <c r="B6" s="8"/>
      <c r="C6" s="8"/>
      <c r="D6" s="13"/>
      <c r="E6" s="13"/>
      <c r="F6" s="13"/>
      <c r="G6" s="8"/>
    </row>
    <row r="7" spans="1:7" ht="21" customHeight="1" thickBot="1" x14ac:dyDescent="0.35">
      <c r="A7" s="44" t="s">
        <v>69</v>
      </c>
      <c r="B7" s="43"/>
      <c r="C7" s="43"/>
      <c r="D7" s="49" t="str">
        <f>'Logic and Calculation'!B5</f>
        <v xml:space="preserve">Compliant </v>
      </c>
      <c r="E7" s="50"/>
      <c r="F7" s="51"/>
      <c r="G7" s="51"/>
    </row>
    <row r="8" spans="1:7" ht="18" customHeight="1" x14ac:dyDescent="0.3">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8"/>
      <c r="G8" s="48"/>
    </row>
    <row r="9" spans="1:7" s="8" customFormat="1" ht="18" customHeight="1" x14ac:dyDescent="0.3">
      <c r="A9" s="24"/>
      <c r="D9" s="25"/>
    </row>
    <row r="10" spans="1:7" s="8" customFormat="1" ht="18" customHeight="1" thickBot="1" x14ac:dyDescent="0.35">
      <c r="A10" s="24"/>
      <c r="D10" s="25"/>
    </row>
    <row r="11" spans="1:7" s="8" customFormat="1" ht="18" customHeight="1" x14ac:dyDescent="0.3">
      <c r="A11" s="59" t="s">
        <v>182</v>
      </c>
      <c r="B11" s="60"/>
      <c r="C11" s="53"/>
      <c r="D11" s="54"/>
      <c r="E11" s="54"/>
      <c r="F11" s="54"/>
      <c r="G11" s="55"/>
    </row>
    <row r="12" spans="1:7" s="8" customFormat="1" ht="18" customHeight="1" thickBot="1" x14ac:dyDescent="0.35">
      <c r="A12" s="61"/>
      <c r="B12" s="62"/>
      <c r="C12" s="56"/>
      <c r="D12" s="57"/>
      <c r="E12" s="57"/>
      <c r="F12" s="57"/>
      <c r="G12" s="58"/>
    </row>
    <row r="13" spans="1:7" s="8" customFormat="1" ht="18" customHeight="1" x14ac:dyDescent="0.3">
      <c r="A13" s="59" t="s">
        <v>184</v>
      </c>
      <c r="B13" s="60"/>
      <c r="C13" s="53"/>
      <c r="D13" s="54"/>
      <c r="E13" s="54"/>
      <c r="F13" s="54"/>
      <c r="G13" s="55"/>
    </row>
    <row r="14" spans="1:7" s="8" customFormat="1" ht="18" customHeight="1" x14ac:dyDescent="0.3">
      <c r="A14" s="63"/>
      <c r="B14" s="64"/>
      <c r="C14" s="65"/>
      <c r="D14" s="66"/>
      <c r="E14" s="66"/>
      <c r="F14" s="66"/>
      <c r="G14" s="67"/>
    </row>
    <row r="15" spans="1:7" s="8" customFormat="1" ht="18" customHeight="1" thickBot="1" x14ac:dyDescent="0.35">
      <c r="A15" s="61"/>
      <c r="B15" s="62"/>
      <c r="C15" s="56"/>
      <c r="D15" s="57"/>
      <c r="E15" s="57"/>
      <c r="F15" s="57"/>
      <c r="G15" s="58"/>
    </row>
    <row r="16" spans="1:7" s="8" customFormat="1" ht="18" customHeight="1" thickBot="1" x14ac:dyDescent="0.35">
      <c r="A16" s="68" t="s">
        <v>183</v>
      </c>
      <c r="B16" s="69"/>
      <c r="C16" s="19"/>
      <c r="D16" s="25"/>
    </row>
    <row r="17" spans="1:8" s="8" customFormat="1" ht="18" customHeight="1" thickBot="1" x14ac:dyDescent="0.35">
      <c r="A17" s="24"/>
      <c r="D17" s="25"/>
    </row>
    <row r="18" spans="1:8" s="8" customFormat="1" ht="18" customHeight="1" thickBot="1" x14ac:dyDescent="0.35">
      <c r="A18" s="16" t="s">
        <v>185</v>
      </c>
      <c r="B18" s="18"/>
      <c r="D18" s="25"/>
    </row>
    <row r="19" spans="1:8" s="8" customFormat="1" ht="18" customHeight="1" thickBot="1" x14ac:dyDescent="0.35">
      <c r="A19" s="16" t="s">
        <v>186</v>
      </c>
      <c r="B19" s="19"/>
      <c r="D19" s="25"/>
    </row>
    <row r="20" spans="1:8" s="8" customFormat="1" ht="18" customHeight="1" x14ac:dyDescent="0.3">
      <c r="A20" s="24"/>
      <c r="D20" s="25"/>
    </row>
    <row r="21" spans="1:8" s="8" customFormat="1" ht="18" customHeight="1" thickBot="1" x14ac:dyDescent="0.35">
      <c r="A21" s="24"/>
      <c r="D21" s="25"/>
    </row>
    <row r="22" spans="1:8" ht="18" customHeight="1" thickBot="1" x14ac:dyDescent="0.35">
      <c r="A22" s="16" t="s">
        <v>53</v>
      </c>
      <c r="B22" s="18"/>
      <c r="C22" s="8"/>
      <c r="D22" s="52"/>
      <c r="E22" s="52"/>
      <c r="F22" s="52"/>
      <c r="G22" s="52"/>
    </row>
    <row r="23" spans="1:8" ht="18" customHeight="1" thickBot="1" x14ac:dyDescent="0.35">
      <c r="A23" s="16" t="s">
        <v>54</v>
      </c>
      <c r="B23" s="19"/>
      <c r="C23" s="8"/>
      <c r="D23" s="23" t="s">
        <v>56</v>
      </c>
      <c r="E23" s="22"/>
      <c r="F23" s="22"/>
      <c r="G23" s="8"/>
    </row>
    <row r="24" spans="1:8" ht="18" customHeight="1" thickBot="1" x14ac:dyDescent="0.35">
      <c r="A24" s="16" t="s">
        <v>55</v>
      </c>
      <c r="B24" s="20"/>
      <c r="C24" s="8"/>
      <c r="D24" s="13"/>
      <c r="E24" s="13"/>
      <c r="F24" s="13"/>
      <c r="G24" s="8"/>
    </row>
    <row r="25" spans="1:8" ht="18" customHeight="1" x14ac:dyDescent="0.3">
      <c r="A25" s="8"/>
      <c r="B25" s="8"/>
      <c r="C25" s="8"/>
      <c r="D25" s="13"/>
      <c r="E25" s="13"/>
      <c r="F25" s="13"/>
      <c r="G25" s="8"/>
    </row>
    <row r="26" spans="1:8" x14ac:dyDescent="0.3">
      <c r="A26" s="45" t="s">
        <v>1</v>
      </c>
      <c r="B26" s="43"/>
      <c r="C26" s="43"/>
      <c r="D26" s="43"/>
      <c r="E26" s="43"/>
      <c r="F26" s="43"/>
      <c r="G26" s="43"/>
    </row>
    <row r="27" spans="1:8" ht="19.95" customHeight="1" x14ac:dyDescent="0.3">
      <c r="A27" s="1" t="s">
        <v>2</v>
      </c>
      <c r="B27" s="1" t="s">
        <v>3</v>
      </c>
      <c r="C27" s="1" t="s">
        <v>4</v>
      </c>
      <c r="D27" s="1" t="s">
        <v>5</v>
      </c>
      <c r="E27" s="1" t="s">
        <v>6</v>
      </c>
      <c r="F27" s="1" t="s">
        <v>190</v>
      </c>
      <c r="G27" s="1" t="s">
        <v>7</v>
      </c>
      <c r="H27" s="6"/>
    </row>
    <row r="28" spans="1:8" ht="44.4" customHeight="1" x14ac:dyDescent="0.3">
      <c r="A28" s="9"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9"/>
      <c r="C28" s="10"/>
      <c r="D28" s="11"/>
      <c r="E28" s="11"/>
      <c r="F28" s="11"/>
      <c r="G28" s="9"/>
    </row>
    <row r="29" spans="1:8" ht="44.4" customHeight="1" x14ac:dyDescent="0.3">
      <c r="A29" s="9"/>
      <c r="B29" s="9"/>
      <c r="C29" s="7"/>
      <c r="D29" s="11"/>
      <c r="E29" s="11"/>
      <c r="F29" s="11"/>
      <c r="G29" s="9"/>
    </row>
    <row r="30" spans="1:8" ht="44.4" customHeight="1" x14ac:dyDescent="0.3">
      <c r="A30" s="9"/>
      <c r="B30" s="9"/>
      <c r="C30" s="7"/>
      <c r="D30" s="11"/>
      <c r="E30" s="11"/>
      <c r="F30" s="11"/>
      <c r="G30" s="9"/>
    </row>
    <row r="31" spans="1:8" ht="44.4" customHeight="1" x14ac:dyDescent="0.3">
      <c r="A31" s="9"/>
      <c r="B31" s="9"/>
      <c r="C31" s="7"/>
      <c r="D31" s="11"/>
      <c r="E31" s="11"/>
      <c r="F31" s="11"/>
      <c r="G31" s="9"/>
    </row>
    <row r="32" spans="1:8" ht="44.4" customHeight="1" x14ac:dyDescent="0.3">
      <c r="A32" s="9"/>
      <c r="B32" s="9"/>
      <c r="C32" s="7"/>
      <c r="D32" s="11"/>
      <c r="E32" s="11"/>
      <c r="F32" s="11"/>
      <c r="G32" s="9"/>
    </row>
    <row r="33" spans="1:7" ht="44.4" customHeight="1" x14ac:dyDescent="0.3">
      <c r="A33" s="9"/>
      <c r="B33" s="9"/>
      <c r="C33" s="7"/>
      <c r="D33" s="11"/>
      <c r="E33" s="11"/>
      <c r="F33" s="11"/>
      <c r="G33" s="9"/>
    </row>
    <row r="34" spans="1:7" ht="44.4" customHeight="1" x14ac:dyDescent="0.3">
      <c r="A34" s="9"/>
      <c r="B34" s="9"/>
      <c r="C34" s="7"/>
      <c r="D34" s="11"/>
      <c r="E34" s="11"/>
      <c r="F34" s="11"/>
      <c r="G34" s="9"/>
    </row>
    <row r="35" spans="1:7" ht="44.4" customHeight="1" x14ac:dyDescent="0.3">
      <c r="A35" s="9"/>
      <c r="B35" s="9"/>
      <c r="C35" s="7"/>
      <c r="D35" s="11"/>
      <c r="E35" s="11"/>
      <c r="F35" s="11"/>
      <c r="G35" s="9"/>
    </row>
    <row r="36" spans="1:7" ht="44.4" customHeight="1" x14ac:dyDescent="0.3">
      <c r="A36" s="9"/>
      <c r="B36" s="9"/>
      <c r="C36" s="7"/>
      <c r="D36" s="11"/>
      <c r="E36" s="11"/>
      <c r="F36" s="11"/>
      <c r="G36" s="9"/>
    </row>
    <row r="37" spans="1:7" ht="44.4" customHeight="1" x14ac:dyDescent="0.3">
      <c r="A37" s="9"/>
      <c r="B37" s="9"/>
      <c r="C37" s="7"/>
      <c r="D37" s="11"/>
      <c r="E37" s="11"/>
      <c r="F37" s="11"/>
      <c r="G37" s="9"/>
    </row>
    <row r="38" spans="1:7" ht="44.4" customHeight="1" x14ac:dyDescent="0.3">
      <c r="A38" s="9"/>
      <c r="B38" s="9"/>
      <c r="C38" s="7"/>
      <c r="D38" s="11"/>
      <c r="E38" s="11"/>
      <c r="F38" s="11"/>
      <c r="G38" s="9"/>
    </row>
    <row r="39" spans="1:7" ht="44.4" customHeight="1" x14ac:dyDescent="0.3">
      <c r="A39" s="9"/>
      <c r="B39" s="9"/>
      <c r="C39" s="7"/>
      <c r="D39" s="11"/>
      <c r="E39" s="11"/>
      <c r="F39" s="11"/>
      <c r="G39" s="9"/>
    </row>
    <row r="40" spans="1:7" ht="44.4" customHeight="1" x14ac:dyDescent="0.3">
      <c r="A40" s="9"/>
      <c r="B40" s="9"/>
      <c r="C40" s="7"/>
      <c r="D40" s="11"/>
      <c r="E40" s="11"/>
      <c r="F40" s="11"/>
      <c r="G40" s="9"/>
    </row>
    <row r="41" spans="1:7" ht="44.4" customHeight="1" x14ac:dyDescent="0.3">
      <c r="A41" s="9"/>
      <c r="B41" s="9"/>
      <c r="C41" s="7"/>
      <c r="D41" s="11"/>
      <c r="E41" s="11"/>
      <c r="F41" s="11"/>
      <c r="G41" s="9"/>
    </row>
    <row r="42" spans="1:7" ht="44.4" customHeight="1" x14ac:dyDescent="0.3">
      <c r="A42" s="8"/>
      <c r="B42" s="8"/>
      <c r="C42" s="7"/>
      <c r="D42" s="13"/>
      <c r="E42" s="13"/>
      <c r="F42" s="13"/>
      <c r="G42" s="8"/>
    </row>
    <row r="43" spans="1:7" ht="44.4" customHeight="1" x14ac:dyDescent="0.3">
      <c r="A43" s="8"/>
      <c r="B43" s="8"/>
      <c r="C43" s="7"/>
      <c r="D43" s="13"/>
      <c r="E43" s="13"/>
      <c r="F43" s="13"/>
      <c r="G43" s="8"/>
    </row>
    <row r="44" spans="1:7" ht="44.4" customHeight="1" x14ac:dyDescent="0.3">
      <c r="A44" s="8"/>
      <c r="B44" s="8"/>
      <c r="C44" s="7"/>
      <c r="D44" s="13"/>
      <c r="E44" s="13"/>
      <c r="F44" s="13"/>
      <c r="G44" s="8"/>
    </row>
    <row r="45" spans="1:7" ht="44.4" customHeight="1" x14ac:dyDescent="0.3">
      <c r="A45" s="8"/>
      <c r="B45" s="8"/>
      <c r="C45" s="7"/>
      <c r="D45" s="13"/>
      <c r="E45" s="13"/>
      <c r="F45" s="13"/>
      <c r="G45" s="8"/>
    </row>
    <row r="46" spans="1:7" ht="44.4" customHeight="1" x14ac:dyDescent="0.3">
      <c r="A46" s="8"/>
      <c r="B46" s="8"/>
      <c r="C46" s="7"/>
      <c r="D46" s="13"/>
      <c r="E46" s="13"/>
      <c r="F46" s="13"/>
      <c r="G46" s="8"/>
    </row>
    <row r="47" spans="1:7" ht="44.4" customHeight="1" x14ac:dyDescent="0.3">
      <c r="C47" s="7"/>
    </row>
    <row r="48" spans="1:7"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A16:B16"/>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opLeftCell="E1" zoomScale="70" zoomScaleNormal="70" workbookViewId="0">
      <pane ySplit="1" topLeftCell="A2" activePane="bottomLeft" state="frozen"/>
      <selection pane="bottomLeft" activeCell="D2" sqref="D2"/>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10" width="59.88671875" style="26" customWidth="1"/>
    <col min="11" max="11" width="48" style="5" customWidth="1"/>
    <col min="12" max="12" width="10" customWidth="1"/>
    <col min="13" max="13" width="11.6640625" customWidth="1"/>
    <col min="14" max="14" width="22" customWidth="1"/>
    <col min="15" max="15" width="54.33203125" style="14" customWidth="1"/>
  </cols>
  <sheetData>
    <row r="1" spans="1:15" ht="28.2" customHeight="1" x14ac:dyDescent="0.3">
      <c r="A1" s="30" t="s">
        <v>8</v>
      </c>
      <c r="B1" s="31" t="s">
        <v>2</v>
      </c>
      <c r="C1" s="31" t="s">
        <v>3</v>
      </c>
      <c r="D1" s="31" t="s">
        <v>9</v>
      </c>
      <c r="E1" s="32" t="s">
        <v>10</v>
      </c>
      <c r="F1" s="31" t="s">
        <v>11</v>
      </c>
      <c r="G1" s="31" t="s">
        <v>12</v>
      </c>
      <c r="H1" s="31" t="s">
        <v>5</v>
      </c>
      <c r="I1" s="31" t="s">
        <v>6</v>
      </c>
      <c r="J1" s="31" t="s">
        <v>190</v>
      </c>
      <c r="K1" s="31" t="s">
        <v>13</v>
      </c>
      <c r="L1" s="31" t="s">
        <v>7</v>
      </c>
      <c r="M1" s="31" t="s">
        <v>14</v>
      </c>
      <c r="N1" s="31" t="s">
        <v>15</v>
      </c>
      <c r="O1" s="33" t="s">
        <v>16</v>
      </c>
    </row>
    <row r="2" spans="1:15" ht="55.2" customHeight="1" x14ac:dyDescent="0.3">
      <c r="A2" s="34" t="s">
        <v>60</v>
      </c>
      <c r="B2" s="3" t="s">
        <v>17</v>
      </c>
      <c r="C2" s="35" t="s">
        <v>64</v>
      </c>
      <c r="D2" s="3" t="s">
        <v>18</v>
      </c>
      <c r="E2" s="35" t="s">
        <v>78</v>
      </c>
      <c r="F2" s="35" t="s">
        <v>79</v>
      </c>
      <c r="G2" s="35" t="s">
        <v>80</v>
      </c>
      <c r="H2" s="35" t="s">
        <v>81</v>
      </c>
      <c r="I2" s="35" t="s">
        <v>82</v>
      </c>
      <c r="J2" s="35" t="s">
        <v>191</v>
      </c>
      <c r="K2" s="35" t="s">
        <v>83</v>
      </c>
      <c r="L2" s="3" t="str">
        <f>VLOOKUP(Table1[[#This Row],[Importance]],'Logic and Calculation'!$H$3:$J$12,3,FALSE)</f>
        <v>Critical</v>
      </c>
      <c r="M2" s="36">
        <v>10</v>
      </c>
      <c r="N2" s="3">
        <f>VLOOKUP(Table1[[#This Row],[Importance]],'Logic and Calculation'!$H$3:$J$12,2,FALSE)</f>
        <v>-18</v>
      </c>
      <c r="O2" s="37" t="s">
        <v>168</v>
      </c>
    </row>
    <row r="3" spans="1:15" ht="55.2" customHeight="1" x14ac:dyDescent="0.3">
      <c r="A3" s="34" t="s">
        <v>60</v>
      </c>
      <c r="B3" s="3" t="s">
        <v>20</v>
      </c>
      <c r="C3" s="35" t="s">
        <v>59</v>
      </c>
      <c r="D3" s="3" t="s">
        <v>18</v>
      </c>
      <c r="E3" s="35" t="s">
        <v>84</v>
      </c>
      <c r="F3" s="35" t="s">
        <v>85</v>
      </c>
      <c r="G3" s="35" t="s">
        <v>86</v>
      </c>
      <c r="H3" s="35" t="s">
        <v>87</v>
      </c>
      <c r="I3" s="35" t="s">
        <v>88</v>
      </c>
      <c r="J3" s="35" t="s">
        <v>191</v>
      </c>
      <c r="K3" s="35" t="s">
        <v>89</v>
      </c>
      <c r="L3" s="3" t="str">
        <f>VLOOKUP(Table1[[#This Row],[Importance]],'Logic and Calculation'!$H$3:$J$12,3,FALSE)</f>
        <v>High</v>
      </c>
      <c r="M3" s="36">
        <v>8</v>
      </c>
      <c r="N3" s="3">
        <f>VLOOKUP(Table1[[#This Row],[Importance]],'Logic and Calculation'!$H$3:$J$12,2,FALSE)</f>
        <v>-13</v>
      </c>
      <c r="O3" s="37" t="s">
        <v>169</v>
      </c>
    </row>
    <row r="4" spans="1:15" ht="55.2" customHeight="1" x14ac:dyDescent="0.3">
      <c r="A4" s="34" t="s">
        <v>61</v>
      </c>
      <c r="B4" s="3" t="s">
        <v>21</v>
      </c>
      <c r="C4" s="35" t="s">
        <v>58</v>
      </c>
      <c r="D4" s="3" t="s">
        <v>18</v>
      </c>
      <c r="E4" s="35" t="s">
        <v>90</v>
      </c>
      <c r="F4" s="35" t="s">
        <v>91</v>
      </c>
      <c r="G4" s="35" t="s">
        <v>92</v>
      </c>
      <c r="H4" s="35" t="s">
        <v>93</v>
      </c>
      <c r="I4" s="35" t="s">
        <v>94</v>
      </c>
      <c r="J4" s="35" t="s">
        <v>191</v>
      </c>
      <c r="K4" s="35" t="s">
        <v>95</v>
      </c>
      <c r="L4" s="3" t="str">
        <f>VLOOKUP(Table1[[#This Row],[Importance]],'Logic and Calculation'!$H$3:$J$12,3,FALSE)</f>
        <v>High</v>
      </c>
      <c r="M4" s="36">
        <v>9</v>
      </c>
      <c r="N4" s="3">
        <f>VLOOKUP(Table1[[#This Row],[Importance]],'Logic and Calculation'!$H$3:$J$12,2,FALSE)</f>
        <v>-15</v>
      </c>
      <c r="O4" s="37" t="s">
        <v>170</v>
      </c>
    </row>
    <row r="5" spans="1:15" ht="55.2" customHeight="1" x14ac:dyDescent="0.3">
      <c r="A5" s="34" t="s">
        <v>61</v>
      </c>
      <c r="B5" s="3" t="s">
        <v>22</v>
      </c>
      <c r="C5" s="35" t="s">
        <v>65</v>
      </c>
      <c r="D5" s="3" t="s">
        <v>18</v>
      </c>
      <c r="E5" s="35" t="s">
        <v>96</v>
      </c>
      <c r="F5" s="35" t="s">
        <v>97</v>
      </c>
      <c r="G5" s="35" t="s">
        <v>98</v>
      </c>
      <c r="H5" s="35" t="s">
        <v>99</v>
      </c>
      <c r="I5" s="35" t="s">
        <v>100</v>
      </c>
      <c r="J5" s="35" t="s">
        <v>192</v>
      </c>
      <c r="K5" s="35" t="s">
        <v>101</v>
      </c>
      <c r="L5" s="3" t="str">
        <f>VLOOKUP(Table1[[#This Row],[Importance]],'Logic and Calculation'!$H$3:$J$12,3,FALSE)</f>
        <v>Medium</v>
      </c>
      <c r="M5" s="36">
        <v>6</v>
      </c>
      <c r="N5" s="3">
        <f>VLOOKUP(Table1[[#This Row],[Importance]],'Logic and Calculation'!$H$3:$J$12,2,FALSE)</f>
        <v>-9</v>
      </c>
      <c r="O5" s="37" t="s">
        <v>171</v>
      </c>
    </row>
    <row r="6" spans="1:15" ht="55.2" customHeight="1" x14ac:dyDescent="0.3">
      <c r="A6" s="34" t="s">
        <v>61</v>
      </c>
      <c r="B6" s="3" t="s">
        <v>23</v>
      </c>
      <c r="C6" s="35" t="s">
        <v>66</v>
      </c>
      <c r="D6" s="3" t="s">
        <v>18</v>
      </c>
      <c r="E6" s="35" t="s">
        <v>102</v>
      </c>
      <c r="F6" s="35" t="s">
        <v>103</v>
      </c>
      <c r="G6" s="35" t="s">
        <v>104</v>
      </c>
      <c r="H6" s="35" t="s">
        <v>105</v>
      </c>
      <c r="I6" s="35" t="s">
        <v>68</v>
      </c>
      <c r="J6" s="35"/>
      <c r="K6" s="35" t="s">
        <v>106</v>
      </c>
      <c r="L6" s="3" t="str">
        <f>VLOOKUP(Table1[[#This Row],[Importance]],'Logic and Calculation'!$H$3:$J$12,3,FALSE)</f>
        <v>High</v>
      </c>
      <c r="M6" s="36">
        <v>8</v>
      </c>
      <c r="N6" s="3">
        <f>VLOOKUP(Table1[[#This Row],[Importance]],'Logic and Calculation'!$H$3:$J$12,2,FALSE)</f>
        <v>-13</v>
      </c>
      <c r="O6" s="37" t="s">
        <v>172</v>
      </c>
    </row>
    <row r="7" spans="1:15" ht="55.2" customHeight="1" x14ac:dyDescent="0.3">
      <c r="A7" s="34" t="s">
        <v>62</v>
      </c>
      <c r="B7" s="3" t="s">
        <v>24</v>
      </c>
      <c r="C7" s="35" t="s">
        <v>187</v>
      </c>
      <c r="D7" s="3" t="s">
        <v>18</v>
      </c>
      <c r="E7" s="35" t="s">
        <v>107</v>
      </c>
      <c r="F7" s="35" t="s">
        <v>108</v>
      </c>
      <c r="G7" s="35" t="s">
        <v>109</v>
      </c>
      <c r="H7" s="35" t="s">
        <v>110</v>
      </c>
      <c r="I7" s="35" t="s">
        <v>111</v>
      </c>
      <c r="J7" s="35"/>
      <c r="K7" s="35" t="s">
        <v>112</v>
      </c>
      <c r="L7" s="3" t="str">
        <f>VLOOKUP(Table1[[#This Row],[Importance]],'Logic and Calculation'!$H$3:$J$12,3,FALSE)</f>
        <v>High</v>
      </c>
      <c r="M7" s="36">
        <v>8</v>
      </c>
      <c r="N7" s="3">
        <f>VLOOKUP(Table1[[#This Row],[Importance]],'Logic and Calculation'!$H$3:$J$12,2,FALSE)</f>
        <v>-13</v>
      </c>
      <c r="O7" s="37" t="s">
        <v>173</v>
      </c>
    </row>
    <row r="8" spans="1:15" ht="48" customHeight="1" x14ac:dyDescent="0.3">
      <c r="A8" s="34" t="s">
        <v>63</v>
      </c>
      <c r="B8" s="3" t="s">
        <v>25</v>
      </c>
      <c r="C8" s="35" t="s">
        <v>67</v>
      </c>
      <c r="D8" s="3" t="s">
        <v>18</v>
      </c>
      <c r="E8" s="35" t="s">
        <v>113</v>
      </c>
      <c r="F8" s="35" t="s">
        <v>114</v>
      </c>
      <c r="G8" s="35" t="s">
        <v>115</v>
      </c>
      <c r="H8" s="35" t="s">
        <v>116</v>
      </c>
      <c r="I8" s="35" t="s">
        <v>117</v>
      </c>
      <c r="J8" s="35"/>
      <c r="K8" s="35" t="s">
        <v>118</v>
      </c>
      <c r="L8" s="3" t="str">
        <f>VLOOKUP(Table1[[#This Row],[Importance]],'Logic and Calculation'!$H$3:$J$12,3,FALSE)</f>
        <v>High</v>
      </c>
      <c r="M8" s="36">
        <v>9</v>
      </c>
      <c r="N8" s="3">
        <f>VLOOKUP(Table1[[#This Row],[Importance]],'Logic and Calculation'!$H$3:$J$12,2,FALSE)</f>
        <v>-15</v>
      </c>
      <c r="O8" s="37" t="s">
        <v>174</v>
      </c>
    </row>
    <row r="9" spans="1:15" ht="50.4" customHeight="1" x14ac:dyDescent="0.3">
      <c r="A9" s="38" t="s">
        <v>61</v>
      </c>
      <c r="B9" s="3" t="s">
        <v>26</v>
      </c>
      <c r="C9" s="29" t="s">
        <v>119</v>
      </c>
      <c r="D9" s="28" t="s">
        <v>18</v>
      </c>
      <c r="E9" s="29" t="s">
        <v>120</v>
      </c>
      <c r="F9" s="28" t="s">
        <v>121</v>
      </c>
      <c r="G9" s="28" t="s">
        <v>122</v>
      </c>
      <c r="H9" s="28" t="s">
        <v>123</v>
      </c>
      <c r="I9" s="28" t="s">
        <v>124</v>
      </c>
      <c r="J9" s="28"/>
      <c r="K9" s="28" t="s">
        <v>125</v>
      </c>
      <c r="L9" s="3" t="str">
        <f>VLOOKUP(Table1[[#This Row],[Importance]],'Logic and Calculation'!$H$3:$J$12,3,FALSE)</f>
        <v>Medium</v>
      </c>
      <c r="M9" s="36">
        <v>6</v>
      </c>
      <c r="N9" s="3">
        <f>VLOOKUP(Table1[[#This Row],[Importance]],'Logic and Calculation'!$H$3:$J$12,2,FALSE)</f>
        <v>-9</v>
      </c>
      <c r="O9" s="37" t="s">
        <v>175</v>
      </c>
    </row>
    <row r="10" spans="1:15" ht="36" x14ac:dyDescent="0.3">
      <c r="A10" s="34" t="s">
        <v>63</v>
      </c>
      <c r="B10" s="3" t="s">
        <v>27</v>
      </c>
      <c r="C10" s="35" t="s">
        <v>126</v>
      </c>
      <c r="D10" s="28" t="s">
        <v>18</v>
      </c>
      <c r="E10" s="29" t="s">
        <v>127</v>
      </c>
      <c r="F10" s="28" t="s">
        <v>128</v>
      </c>
      <c r="G10" s="28" t="s">
        <v>129</v>
      </c>
      <c r="H10" s="28" t="s">
        <v>130</v>
      </c>
      <c r="I10" s="28" t="s">
        <v>131</v>
      </c>
      <c r="J10" s="28"/>
      <c r="K10" s="28" t="s">
        <v>132</v>
      </c>
      <c r="L10" s="3" t="str">
        <f>VLOOKUP(Table1[[#This Row],[Importance]],'Logic and Calculation'!$H$3:$J$12,3,FALSE)</f>
        <v>Medium</v>
      </c>
      <c r="M10" s="36">
        <v>5</v>
      </c>
      <c r="N10" s="3">
        <f>VLOOKUP(Table1[[#This Row],[Importance]],'Logic and Calculation'!$H$3:$J$12,2,FALSE)</f>
        <v>-7</v>
      </c>
      <c r="O10" s="37" t="s">
        <v>176</v>
      </c>
    </row>
    <row r="11" spans="1:15" ht="36" x14ac:dyDescent="0.3">
      <c r="A11" s="38" t="s">
        <v>61</v>
      </c>
      <c r="B11" s="3" t="s">
        <v>28</v>
      </c>
      <c r="C11" s="29" t="s">
        <v>133</v>
      </c>
      <c r="D11" s="28" t="s">
        <v>18</v>
      </c>
      <c r="E11" s="29" t="s">
        <v>134</v>
      </c>
      <c r="F11" s="28" t="s">
        <v>135</v>
      </c>
      <c r="G11" s="28" t="s">
        <v>136</v>
      </c>
      <c r="H11" s="28" t="s">
        <v>137</v>
      </c>
      <c r="I11" s="28" t="s">
        <v>138</v>
      </c>
      <c r="J11" s="28"/>
      <c r="K11" s="28" t="s">
        <v>139</v>
      </c>
      <c r="L11" s="3" t="str">
        <f>VLOOKUP(Table1[[#This Row],[Importance]],'Logic and Calculation'!$H$3:$J$12,3,FALSE)</f>
        <v>High</v>
      </c>
      <c r="M11" s="36">
        <v>9</v>
      </c>
      <c r="N11" s="3">
        <f>VLOOKUP(Table1[[#This Row],[Importance]],'Logic and Calculation'!$H$3:$J$12,2,FALSE)</f>
        <v>-15</v>
      </c>
      <c r="O11" s="37" t="s">
        <v>177</v>
      </c>
    </row>
    <row r="12" spans="1:15" ht="36" x14ac:dyDescent="0.3">
      <c r="A12" s="38" t="s">
        <v>60</v>
      </c>
      <c r="B12" s="3" t="s">
        <v>29</v>
      </c>
      <c r="C12" s="29" t="s">
        <v>140</v>
      </c>
      <c r="D12" s="28" t="s">
        <v>18</v>
      </c>
      <c r="E12" s="29" t="s">
        <v>141</v>
      </c>
      <c r="F12" s="28" t="s">
        <v>142</v>
      </c>
      <c r="G12" s="28" t="s">
        <v>143</v>
      </c>
      <c r="H12" s="28" t="s">
        <v>144</v>
      </c>
      <c r="I12" s="28" t="s">
        <v>145</v>
      </c>
      <c r="J12" s="28" t="s">
        <v>194</v>
      </c>
      <c r="K12" s="28" t="s">
        <v>146</v>
      </c>
      <c r="L12" s="3" t="str">
        <f>VLOOKUP(Table1[[#This Row],[Importance]],'Logic and Calculation'!$H$3:$J$12,3,FALSE)</f>
        <v>Critical</v>
      </c>
      <c r="M12" s="36">
        <v>10</v>
      </c>
      <c r="N12" s="3">
        <f>VLOOKUP(Table1[[#This Row],[Importance]],'Logic and Calculation'!$H$3:$J$12,2,FALSE)</f>
        <v>-18</v>
      </c>
      <c r="O12" s="37" t="s">
        <v>178</v>
      </c>
    </row>
    <row r="13" spans="1:15" ht="36" x14ac:dyDescent="0.3">
      <c r="A13" s="38" t="s">
        <v>62</v>
      </c>
      <c r="B13" s="3" t="s">
        <v>30</v>
      </c>
      <c r="C13" s="29" t="s">
        <v>147</v>
      </c>
      <c r="D13" s="28" t="s">
        <v>18</v>
      </c>
      <c r="E13" s="29" t="s">
        <v>148</v>
      </c>
      <c r="F13" s="28" t="s">
        <v>149</v>
      </c>
      <c r="G13" s="28" t="s">
        <v>150</v>
      </c>
      <c r="H13" s="28" t="s">
        <v>151</v>
      </c>
      <c r="I13" s="28" t="s">
        <v>152</v>
      </c>
      <c r="J13" s="28" t="s">
        <v>193</v>
      </c>
      <c r="K13" s="28" t="s">
        <v>153</v>
      </c>
      <c r="L13" s="3" t="str">
        <f>VLOOKUP(Table1[[#This Row],[Importance]],'Logic and Calculation'!$H$3:$J$12,3,FALSE)</f>
        <v>Medium</v>
      </c>
      <c r="M13" s="36">
        <v>6</v>
      </c>
      <c r="N13" s="3">
        <f>VLOOKUP(Table1[[#This Row],[Importance]],'Logic and Calculation'!$H$3:$J$12,2,FALSE)</f>
        <v>-9</v>
      </c>
      <c r="O13" s="37" t="s">
        <v>179</v>
      </c>
    </row>
    <row r="14" spans="1:15" ht="28.8" x14ac:dyDescent="0.3">
      <c r="A14" s="38" t="s">
        <v>154</v>
      </c>
      <c r="B14" s="3" t="s">
        <v>31</v>
      </c>
      <c r="C14" s="29" t="s">
        <v>155</v>
      </c>
      <c r="D14" s="28" t="s">
        <v>18</v>
      </c>
      <c r="E14" s="29" t="s">
        <v>156</v>
      </c>
      <c r="F14" s="28" t="s">
        <v>157</v>
      </c>
      <c r="G14" s="28" t="s">
        <v>158</v>
      </c>
      <c r="H14" s="28" t="s">
        <v>159</v>
      </c>
      <c r="I14" s="28" t="s">
        <v>160</v>
      </c>
      <c r="J14" s="28"/>
      <c r="K14" s="28" t="s">
        <v>161</v>
      </c>
      <c r="L14" s="3" t="str">
        <f>VLOOKUP(Table1[[#This Row],[Importance]],'Logic and Calculation'!$H$3:$J$12,3,FALSE)</f>
        <v>Medium</v>
      </c>
      <c r="M14" s="36">
        <v>7</v>
      </c>
      <c r="N14" s="3">
        <f>VLOOKUP(Table1[[#This Row],[Importance]],'Logic and Calculation'!$H$3:$J$12,2,FALSE)</f>
        <v>-11</v>
      </c>
      <c r="O14" s="37" t="s">
        <v>180</v>
      </c>
    </row>
    <row r="15" spans="1:15" ht="28.8" x14ac:dyDescent="0.3">
      <c r="A15" s="38" t="s">
        <v>154</v>
      </c>
      <c r="B15" s="3" t="s">
        <v>77</v>
      </c>
      <c r="C15" s="29" t="s">
        <v>162</v>
      </c>
      <c r="D15" s="28" t="s">
        <v>18</v>
      </c>
      <c r="E15" s="29" t="s">
        <v>163</v>
      </c>
      <c r="F15" s="28" t="s">
        <v>164</v>
      </c>
      <c r="G15" s="28" t="s">
        <v>165</v>
      </c>
      <c r="H15" s="28" t="s">
        <v>166</v>
      </c>
      <c r="I15" s="28" t="s">
        <v>167</v>
      </c>
      <c r="J15" s="28"/>
      <c r="K15" s="28" t="s">
        <v>161</v>
      </c>
      <c r="L15" s="3" t="str">
        <f>VLOOKUP(Table1[[#This Row],[Importance]],'Logic and Calculation'!$H$3:$J$12,3,FALSE)</f>
        <v>High</v>
      </c>
      <c r="M15" s="36">
        <v>8</v>
      </c>
      <c r="N15" s="3">
        <f>VLOOKUP(Table1[[#This Row],[Importance]],'Logic and Calculation'!$H$3:$J$12,2,FALSE)</f>
        <v>-13</v>
      </c>
      <c r="O15" s="37"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SUM(F8:F952)</f>
        <v>0</v>
      </c>
      <c r="D3" t="s">
        <v>75</v>
      </c>
      <c r="H3">
        <v>10</v>
      </c>
      <c r="I3">
        <v>-18</v>
      </c>
      <c r="J3" t="s">
        <v>39</v>
      </c>
      <c r="L3" t="s">
        <v>189</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188</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2026-04-16T17:43:45Z</dcterms:modified>
</cp:coreProperties>
</file>