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FULL ANALYSIS/AGENT MASTERY SCORE/"/>
    </mc:Choice>
  </mc:AlternateContent>
  <xr:revisionPtr revIDLastSave="191" documentId="8_{070950E3-E89F-4947-8F13-1A3D60E112EC}" xr6:coauthVersionLast="47" xr6:coauthVersionMax="47" xr10:uidLastSave="{90F52B08-BC6D-4F85-BD3D-02D1CB5F43C2}"/>
  <bookViews>
    <workbookView xWindow="-57720" yWindow="0" windowWidth="29040" windowHeight="15720" activeTab="1" xr2:uid="{00000000-000D-0000-FFFF-FFFF00000000}"/>
  </bookViews>
  <sheets>
    <sheet name="Account Mastery_Analysis" sheetId="1" r:id="rId1"/>
    <sheet name="Account Mastery_Reference" sheetId="2" r:id="rId2"/>
    <sheet name="Logic and Calculation" sheetId="3" r:id="rId3"/>
  </sheets>
  <definedNames>
    <definedName name="_xleta.N" hidden="1" xlm="1">#NAME?</definedName>
    <definedName name="_xleta.T" hidden="1" xlm="1">#NAME?</definedName>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hat" hidden="1" xlm="1">#NAME?</definedName>
    <definedName name="_xlpm.why"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2" l="1"/>
  <c r="K4" i="2"/>
  <c r="K5" i="2"/>
  <c r="K6" i="2"/>
  <c r="K7" i="2"/>
  <c r="K8" i="2"/>
  <c r="K9" i="2"/>
  <c r="K10" i="2"/>
  <c r="K11" i="2"/>
  <c r="K12" i="2"/>
  <c r="K13" i="2"/>
  <c r="K14" i="2"/>
  <c r="K15" i="2"/>
  <c r="M3" i="2"/>
  <c r="E9" i="3" s="1"/>
  <c r="M4" i="2"/>
  <c r="E10" i="3" s="1"/>
  <c r="M5" i="2"/>
  <c r="E11" i="3" s="1"/>
  <c r="M6" i="2"/>
  <c r="E12" i="3" s="1"/>
  <c r="M7" i="2"/>
  <c r="E13" i="3" s="1"/>
  <c r="E14" i="3"/>
  <c r="M8" i="2"/>
  <c r="E15" i="3" s="1"/>
  <c r="M9" i="2"/>
  <c r="E16" i="3" s="1"/>
  <c r="E17" i="3"/>
  <c r="M10" i="2"/>
  <c r="E18" i="3" s="1"/>
  <c r="M11" i="2"/>
  <c r="E19" i="3" s="1"/>
  <c r="M12" i="2"/>
  <c r="E20" i="3" s="1"/>
  <c r="M13" i="2"/>
  <c r="E21" i="3" s="1"/>
  <c r="M14" i="2"/>
  <c r="E22" i="3" s="1"/>
  <c r="M15" i="2"/>
  <c r="E23" i="3" s="1"/>
  <c r="D21" i="3"/>
  <c r="F21" i="3" s="1"/>
  <c r="D22" i="3"/>
  <c r="F22" i="3" s="1"/>
  <c r="D23" i="3"/>
  <c r="F23" i="3" s="1"/>
  <c r="D9" i="3"/>
  <c r="F9" i="3" s="1"/>
  <c r="D10" i="3"/>
  <c r="F10" i="3" s="1"/>
  <c r="D11" i="3"/>
  <c r="F11" i="3" s="1"/>
  <c r="D12" i="3"/>
  <c r="F12" i="3" s="1"/>
  <c r="D13" i="3"/>
  <c r="F13" i="3" s="1"/>
  <c r="D14" i="3"/>
  <c r="F14" i="3" s="1"/>
  <c r="D15" i="3"/>
  <c r="F15" i="3" s="1"/>
  <c r="D16" i="3"/>
  <c r="F16" i="3" s="1"/>
  <c r="D17" i="3"/>
  <c r="F17" i="3" s="1"/>
  <c r="D18" i="3"/>
  <c r="F18" i="3" s="1"/>
  <c r="D19" i="3"/>
  <c r="F19" i="3" s="1"/>
  <c r="D20" i="3"/>
  <c r="F20" i="3" s="1"/>
  <c r="A12" i="3"/>
  <c r="B12" i="3"/>
  <c r="C12" i="3"/>
  <c r="A13" i="3"/>
  <c r="B13" i="3"/>
  <c r="C13" i="3"/>
  <c r="A14" i="3"/>
  <c r="B14" i="3"/>
  <c r="C14" i="3"/>
  <c r="A15" i="3"/>
  <c r="B15" i="3"/>
  <c r="C15" i="3"/>
  <c r="A16" i="3"/>
  <c r="B16" i="3"/>
  <c r="C16" i="3"/>
  <c r="A17" i="3"/>
  <c r="B17" i="3"/>
  <c r="C17" i="3"/>
  <c r="A18" i="3"/>
  <c r="B18" i="3"/>
  <c r="C18" i="3"/>
  <c r="A19" i="3"/>
  <c r="B19" i="3"/>
  <c r="C19" i="3"/>
  <c r="A20" i="3"/>
  <c r="B20" i="3"/>
  <c r="C20" i="3"/>
  <c r="A21" i="3"/>
  <c r="B21" i="3"/>
  <c r="C21" i="3"/>
  <c r="A22" i="3"/>
  <c r="B22" i="3"/>
  <c r="C22" i="3"/>
  <c r="A23" i="3"/>
  <c r="B23" i="3"/>
  <c r="C23" i="3"/>
  <c r="K2" i="2"/>
  <c r="C11" i="3"/>
  <c r="B11" i="3"/>
  <c r="A11" i="3"/>
  <c r="C10" i="3"/>
  <c r="B10" i="3"/>
  <c r="A10" i="3"/>
  <c r="C9" i="3"/>
  <c r="B9" i="3"/>
  <c r="A9" i="3"/>
  <c r="D8" i="3"/>
  <c r="C8" i="3"/>
  <c r="B8" i="3"/>
  <c r="A8" i="3"/>
  <c r="M2" i="2"/>
  <c r="E8" i="3" s="1"/>
  <c r="A28" i="1" l="1" a="1"/>
  <c r="A28" i="1" s="1"/>
  <c r="F8" i="3"/>
  <c r="B3" i="3" l="1"/>
  <c r="B4" i="3" s="1"/>
  <c r="B5" i="3" s="1"/>
  <c r="D7" i="1" s="1"/>
  <c r="D8" i="1" s="1" a="1"/>
  <c r="D8"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<sst xmlns="http://schemas.openxmlformats.org/spreadsheetml/2006/main" count="231" uniqueCount="190">
  <si>
    <t>Interpretation</t>
  </si>
  <si>
    <t>Key Findings (Prioritized) — include all FLAG / PARTIAL controls (no max items)</t>
  </si>
  <si>
    <t>Control ID</t>
  </si>
  <si>
    <t>Control Name</t>
  </si>
  <si>
    <t>Status</t>
  </si>
  <si>
    <t>What We Saw</t>
  </si>
  <si>
    <t>Why It Matters</t>
  </si>
  <si>
    <t>Impact</t>
  </si>
  <si>
    <t>Block</t>
  </si>
  <si>
    <t>STATUS</t>
  </si>
  <si>
    <t>What</t>
  </si>
  <si>
    <t>Why</t>
  </si>
  <si>
    <t>How</t>
  </si>
  <si>
    <t>Data Source</t>
  </si>
  <si>
    <t>Importance</t>
  </si>
  <si>
    <t>Priority</t>
  </si>
  <si>
    <t>Notes/Intent</t>
  </si>
  <si>
    <t>C001</t>
  </si>
  <si>
    <t>OK</t>
  </si>
  <si>
    <t>Medium</t>
  </si>
  <si>
    <t>C002</t>
  </si>
  <si>
    <t>C003</t>
  </si>
  <si>
    <t>C004</t>
  </si>
  <si>
    <t>C005</t>
  </si>
  <si>
    <t>C006</t>
  </si>
  <si>
    <t>C007</t>
  </si>
  <si>
    <t>C008</t>
  </si>
  <si>
    <t>C009</t>
  </si>
  <si>
    <t>C010</t>
  </si>
  <si>
    <t>C011</t>
  </si>
  <si>
    <t>C012</t>
  </si>
  <si>
    <t>C013</t>
  </si>
  <si>
    <t>Penalty Applied</t>
  </si>
  <si>
    <t>Start Score</t>
  </si>
  <si>
    <t>Bands</t>
  </si>
  <si>
    <t>Priority (Points Lost)</t>
  </si>
  <si>
    <t>Impact Magnitude</t>
  </si>
  <si>
    <t xml:space="preserve">Interpretation </t>
  </si>
  <si>
    <t>Total Penalty</t>
  </si>
  <si>
    <t>Critical</t>
  </si>
  <si>
    <t>Final Score</t>
  </si>
  <si>
    <t>High</t>
  </si>
  <si>
    <t>Partial weighting</t>
  </si>
  <si>
    <t>PARTIAL uses 50% of Priority</t>
  </si>
  <si>
    <t>Low</t>
  </si>
  <si>
    <t>Visibility</t>
  </si>
  <si>
    <t xml:space="preserve">Evaluation Window &gt; </t>
  </si>
  <si>
    <t>Account &gt;</t>
  </si>
  <si>
    <t>Account: 9B2AD3 - US - Greestone - seller | Tenant ID: 69ece8e2-28ed-4919-a7a7-b81ede84d5d5 | Account ID: 1425191550341661</t>
  </si>
  <si>
    <t>2025-12-31 to 2026-01-30 (30 days)</t>
  </si>
  <si>
    <t xml:space="preserve">Download Date &gt; </t>
  </si>
  <si>
    <t>Needs Attention</t>
  </si>
  <si>
    <t>40–&lt;75 = Needs Attention</t>
  </si>
  <si>
    <t>ACoS Constrains &gt;</t>
  </si>
  <si>
    <t>TACoS Constrains &gt;</t>
  </si>
  <si>
    <t>Budget Constrains &gt;</t>
  </si>
  <si>
    <t>PRIMARY KPI</t>
  </si>
  <si>
    <t>53588A - US - ZooPro — Account Mastery Analysis</t>
  </si>
  <si>
    <t>Account Challenges Documented</t>
  </si>
  <si>
    <t>Objective vs Near-Term Alignment</t>
  </si>
  <si>
    <t>Client Objective &amp; Success Criteria</t>
  </si>
  <si>
    <t>Account Context Understanding</t>
  </si>
  <si>
    <t>Strategy &amp; Journey Ownership</t>
  </si>
  <si>
    <t>Client Engagement &amp; Communication</t>
  </si>
  <si>
    <t>Objective Clearly Defined</t>
  </si>
  <si>
    <t>Seasonality Awareness</t>
  </si>
  <si>
    <t>Operational Constraints Awareness</t>
  </si>
  <si>
    <t>Narrative Consistency</t>
  </si>
  <si>
    <t>If operational blockers are not recognized, performance issues may be misdiagnosed as purely media or strategy problems.</t>
  </si>
  <si>
    <t>Mastery Grade</t>
  </si>
  <si>
    <t xml:space="preserve">Mastery Version &gt; </t>
  </si>
  <si>
    <t>v1.0</t>
  </si>
  <si>
    <t>The account owner demonstrates a clear understanding of the client objective, account dynamics, and strategic roadmap. Documentation and client communication are consistent, enabling confident strategic decision-making and effective collaboration with CoE.</t>
  </si>
  <si>
    <t>Key elements of the account narrative or strategic context are partially documented or lack clarity. Additional alignment between Salesforce documentation, client discussions, and account strategy is recommended to strengthen account ownership.</t>
  </si>
  <si>
    <t>Not Compliant</t>
  </si>
  <si>
    <t>75–100 = Compliant</t>
  </si>
  <si>
    <t>&lt;40 = Not Compliant</t>
  </si>
  <si>
    <t>C014</t>
  </si>
  <si>
    <t>Verify whether the client objective is clearly documented through usable KPI targets and supporting account context.</t>
  </si>
  <si>
    <t>Mastery starts with knowing what success looks like for the client and how it should be measured.</t>
  </si>
  <si>
    <t>Review 54_Project_Dataset_on_SF for daily_target_spend__c, Target_ROAS__c, Target_ACoS__c, Target_TACoS__c, and CS_Notes__c. Confirm that the account has clear numeric targets and contextual explanation.</t>
  </si>
  <si>
    <t>Project data defines daily target spend as {daily_target_spend}, target ROAS as {target_roas}, target ACoS as {target_acos}, and target TACoS as {target_tacos}. Objective context documented in CS Notes: {objective_context}.</t>
  </si>
  <si>
    <t>Without clearly documented targets and context, the account cannot be assessed against the right objective or managed toward a shared outcome.</t>
  </si>
  <si>
    <t>54_Project_Dataset_on_SF | daily_target_spend__c; Target_ROAS__c; Target_ACoS__c; Target_TACoS__c; CS_Notes__c</t>
  </si>
  <si>
    <t>Verify whether the documented near-term priorities support the account objective and KPI direction.</t>
  </si>
  <si>
    <t>Short-term actions should reinforce, not contradict, the primary account objective.</t>
  </si>
  <si>
    <t>Compare KPI targets and CS Notes with QBR_Priority__c, QBR_Plan__c, BFCM_Priority__c, and BFCM_Plan__c in 54_Project_Dataset_on_SF. Identify whether priorities are aligned or conflicting.</t>
  </si>
  <si>
    <t>Project targets indicate {objective_direction}, while near-term priorities are documented as QBR priority {qbr_priority} with plan {qbr_plan}, and BFCM priority {bfcm_priority} with plan {bfcm_plan}. Alignment result: {objective_alignment_result}.</t>
  </si>
  <si>
    <t>If the near-term plan conflicts with the KPI targets or documented objective, execution can become inconsistent and weaken strategic ownership.</t>
  </si>
  <si>
    <t>54_Project_Dataset_on_SF | daily_target_spend__c; Target_ROAS__c; Target_ACoS__c; Target_TACoS__c; QBR_Priority__c; QBR_Plan__c; BFCM_Priority__c; BFCM_Plan__c; CS_Notes__c</t>
  </si>
  <si>
    <t>Verify whether the main account blockers and risks are clearly documented.</t>
  </si>
  <si>
    <t>A CSM cannot demonstrate mastery without understanding what is limiting account performance or stability.</t>
  </si>
  <si>
    <t>Review CS_Notes__c, risk_notes, and At_Risk__c in 54_Project_Dataset_on_SF. Check whether the challenges are specific, relevant, and explain real account friction.</t>
  </si>
  <si>
    <t>Current account challenges documented in project data are: {challenge_summary}. At-risk flag = {at_risk_flag}; risk notes = {risk_notes}.</t>
  </si>
  <si>
    <t>Understanding the real blockers helps CoE focus on the most relevant recommendations and avoids treating symptoms instead of causes.</t>
  </si>
  <si>
    <t>54_Project_Dataset_on_SF | CS_Notes__c; risk_notes; At_Risk__c</t>
  </si>
  <si>
    <t>Verify whether seasonal patterns affecting demand, pacing, or performance are recognized and documented.</t>
  </si>
  <si>
    <t>Seasonality changes demand patterns, budget pacing, and the expected balance between scale and efficiency.</t>
  </si>
  <si>
    <t>Review CS_Notes__c, QBR/BFCM planning fields, and monthly trend tabs such as 04_L24M_Monthly_Performance_Sum and 05_Monthly_Sales_YoY_Comparison. Look for explicit seasonality references and supporting performance patterns.</t>
  </si>
  <si>
    <t>Seasonality references identified include {seasonality_notes}. Recent trend pattern observed: {seasonality_pattern}.</t>
  </si>
  <si>
    <t>If seasonality is not understood, the account may be evaluated or managed against the wrong expectations, timing, and spend profile.</t>
  </si>
  <si>
    <t>54_Project_Dataset_on_SF + 04_L24M_Monthly_Performance_Sum + 05_Monthly_Sales_YoY_Comparison | CS_Notes__c; QBR_Priority__c; BFCM_Plan__c</t>
  </si>
  <si>
    <t>Verify whether operational constraints affecting performance are documented and acknowledged.</t>
  </si>
  <si>
    <t>Inventory, pricing, buy box, and similar operational issues materially affect advertising outcomes and strategic choices.</t>
  </si>
  <si>
    <t>Review CS_Notes__c and risk_notes for operational issues such as stock constraints, buy box loss, pricing pressure, listing issues, or supply limitations. Cross-check the recent KPI pattern in 02_Date_Range_KPIs__Date_Range_ when helpful.</t>
  </si>
  <si>
    <t>Operational constraints identified in the account narrative include: {operational_constraints}. Supporting performance context: {constraint_performance_context}.</t>
  </si>
  <si>
    <t>54_Project_Dataset_on_SF + 02_Date_Range_KPIs__Date_Range_ | CS_Notes__c; risk_notes; At_Risk__c</t>
  </si>
  <si>
    <t>Verify whether the account has a documented forward-looking roadmap for the next review periods.</t>
  </si>
  <si>
    <t>A strong CSM should know not only the current state, but also what should happen next and why.</t>
  </si>
  <si>
    <t>Review QBR_Priority__c, QBR_Plan__c, BFCM_Priority__c, BFCM_Plan__c, and CS_Notes__c in 54_Project_Dataset_on_SF. Use Customer Journey tabs when available to validate staging or sequencing.</t>
  </si>
  <si>
    <t>Documented roadmap includes QBR priority {qbr_priority} with plan {qbr_plan}, BFCM priority {bfcm_priority} with plan {bfcm_plan}, and broader strategy notes: {strategy_notes}.</t>
  </si>
  <si>
    <t>A clear roadmap improves strategic continuity and shows that the CSM understands how the account should evolve over time.</t>
  </si>
  <si>
    <t>54_Project_Dataset_on_SF (+ 47_Customer_Journey__Last_Quart / 48_Customer_Journey__Marketplac when available) | QBR_Priority__c; QBR_Plan__c; BFCM_Priority__c; BFCM_Plan__c; CS_Notes__c</t>
  </si>
  <si>
    <t>Verify whether the documented account narrative is consistent with the observed KPI profile and strategic fields.</t>
  </si>
  <si>
    <t>A strong CSM should maintain one coherent account story across targets, risks, and observed performance.</t>
  </si>
  <si>
    <t>Compare the project targets and CS Notes in 54_Project_Dataset_on_SF with the current KPI profile in 02_Date_Range_KPIs__Date_Range_. Identify whether the documented narrative matches what the data suggests.</t>
  </si>
  <si>
    <t>Documented narrative indicates {documented_narrative}. Current KPI profile shows ACoS {current_acos}, TACoS {current_tacos}, spend {current_spend}, and sales {current_sales}. Consistency result: {narrative_consistency_result}.</t>
  </si>
  <si>
    <t>Consistency between the documented story and the KPI reality indicates strong ownership; contradictions suggest weak control of the account narrative.</t>
  </si>
  <si>
    <t>54_Project_Dataset_on_SF + 02_Date_Range_KPIs__Date_Range_ | CS_Notes__c; Target_ROAS__c; Target_ACoS__c; Target_TACoS__c; risk_notes</t>
  </si>
  <si>
    <t>Sales Concentration Matches Account Story</t>
  </si>
  <si>
    <t>Verify whether product sales concentration is understood and reflected in the documented account narrative.</t>
  </si>
  <si>
    <t>Highly concentrated accounts require different prioritization and risk management than broad catalogs.</t>
  </si>
  <si>
    <t>Use 07_KPIs_by_Parent_ASIN_by_Month to calculate the share of total sales coming from the top parent ASINs. Compare that concentration with the focus described in CS Notes and project plans.</t>
  </si>
  <si>
    <t>Top {top_parent_asin_count} parent ASINs represent {sales_concentration_pct}% of total sales in the evaluation window. Alignment with documented narrative: {sales_concentration_alignment}.</t>
  </si>
  <si>
    <t>If the CSM does not understand whether sales are concentrated or diversified, product prioritization and protection strategy may be misaligned.</t>
  </si>
  <si>
    <t>07_KPIs_by_Parent_ASIN_by_Month + 54_Project_Dataset_on_SF | ParentASIN; ThisYearTotalSales; CS_Notes__c</t>
  </si>
  <si>
    <t>Client Contact Cadence (last 6 months)</t>
  </si>
  <si>
    <t>Verify whether recent client contact cadence is evidenced or otherwise documented.</t>
  </si>
  <si>
    <t>Regular contact helps maintain alignment, surface changes early, and reduce narrative gaps before the CoE review.</t>
  </si>
  <si>
    <t>Use call-level datasets when available. If no call dataset is present, use QBR planning fields and LastModifiedDate in 54_Project_Dataset_on_SF as partial evidence and treat the control as source-limited.</t>
  </si>
  <si>
    <t>Current review evidence shows QBR priority {qbr_priority}, QBR plan {qbr_plan}, and last project update {project_last_modified}. Documented calls in the last 6 months: {calls_last_6m_if_available}.</t>
  </si>
  <si>
    <t>Without evidence of recent contact cadence, it is harder to tell whether the documented account narrative is current and client-informed.</t>
  </si>
  <si>
    <t>54_Project_Dataset_on_SF (+ future call-insights dataset when available) | QBR_Priority__c; QBR_Plan__c; LastModifiedDate</t>
  </si>
  <si>
    <t>Customizations Documented &amp; Justified</t>
  </si>
  <si>
    <t>Verify whether key account customizations are documented and supported by rationale.</t>
  </si>
  <si>
    <t>Customizations outside the standard framework should be understood, intentional, and explainable.</t>
  </si>
  <si>
    <t>Review CS_Notes__c for references to customizations, overrides, unmanaged areas, or special exceptions. Cross-check 08_Campaign_Report for Imported, Quartile, Quartile_Campaign_Group, and PortfolioName signals that may support the customization narrative.</t>
  </si>
  <si>
    <t>Customizations identified in notes / structure include: {customizations_summary}. Structural evidence observed: {structural_customization_evidence}.</t>
  </si>
  <si>
    <t>If customizations are not documented and justified, CoE cannot assess whether they are intentional strategic choices or uncontrolled drift.</t>
  </si>
  <si>
    <t>54_Project_Dataset_on_SF + 08_Campaign_Report | CS_Notes__c; Imported; Quartile; Quartile_Campaign_Group; PortfolioName</t>
  </si>
  <si>
    <t>Target Spend / KPI Targets Documented</t>
  </si>
  <si>
    <t>Verify whether spend targets and KPI targets are explicitly documented and usable for analysis.</t>
  </si>
  <si>
    <t>Mastery requires knowing the target boundaries and KPI guardrails that define success on the account.</t>
  </si>
  <si>
    <t>Review daily_target_spend__c, Target_ROAS__c, Target_ACoS__c, and Target_TACoS__c in 54_Project_Dataset_on_SF. Compare them with current KPIs from 02_Date_Range_KPIs__Date_Range_ to identify target gaps or missing targets.</t>
  </si>
  <si>
    <t>Target daily spend = {daily_target_spend}; target ROAS = {target_roas}; target ACoS = {target_acos}; target TACoS = {target_tacos}. Current performance vs targets: {target_gap_summary}.</t>
  </si>
  <si>
    <t>If targets are missing or vague, the account cannot be evaluated against the intended objective and the CoE review becomes less precise.</t>
  </si>
  <si>
    <t>54_Project_Dataset_on_SF + 02_Date_Range_KPIs__Date_Range_ | daily_target_spend__c; Target_ROAS__c; Target_ACoS__c; Target_TACoS__c; ACoS; TACoS; AdSpend</t>
  </si>
  <si>
    <t>Tagging / Segmentation Logic Clear</t>
  </si>
  <si>
    <t>Verify whether campaign tagging and segmentation are consistent with the documented account strategy.</t>
  </si>
  <si>
    <t>Tagging and segmentation reveal whether the account structure supports the intended strategy and product focus.</t>
  </si>
  <si>
    <t>Review 08_Campaign_Report and 10_Campaigns_Grouped_by_QT_Camp for Quartile_Campaign_Group, CampaignSubType, PortfolioName, Imported, and spend distribution. Compare the observed structure with the intent documented in CS Notes.</t>
  </si>
  <si>
    <t>Observed tagging / segmentation patterns include {tagging_summary}. Potential structure or tagging issues identified: {tagging_issues}.</t>
  </si>
  <si>
    <t>If tagging and segmentation do not reflect the stated strategy, execution quality and strategic clarity are both reduced.</t>
  </si>
  <si>
    <t>08_Campaign_Report + 10_Campaigns_Grouped_by_QT_Camp + 54_Project_Dataset_on_SF | Quartile_Campaign_Group; CampaignSubType; PortfolioName; Imported; CS_Notes__c</t>
  </si>
  <si>
    <t>On Call</t>
  </si>
  <si>
    <t>On-Call Interaction Quality</t>
  </si>
  <si>
    <t>Verify whether the CSM responds confidently and directly to account questions during the CoE call.</t>
  </si>
  <si>
    <t>Live interaction quality is strong evidence of whether the CSM actually knows the account beyond what is written in the system.</t>
  </si>
  <si>
    <t>Assess the CoE call for response speed, confidence, specificity, and ability to answer follow-up questions without overreliance on generic statements.</t>
  </si>
  <si>
    <t>During the CoE call, the CSM demonstrated {interaction_quality} when responding to account questions. Examples observed: {interaction_examples}.</t>
  </si>
  <si>
    <t>A CSM who understands the account should be able to respond clearly and confidently when questioned on the live review call.</t>
  </si>
  <si>
    <t>Live CoE Review Call / Reviewer Observation</t>
  </si>
  <si>
    <t>On-Call Explanation Quality</t>
  </si>
  <si>
    <t>Verify whether the CSM can explain why the account is being managed the way it is.</t>
  </si>
  <si>
    <t>Mastery is not only knowing what is happening, but also being able to explain the rationale behind the strategy and tradeoffs.</t>
  </si>
  <si>
    <t>During the CoE call, assess whether the CSM explains the logic behind targeting, pacing, structure, priorities, and deviations from the standard approach.</t>
  </si>
  <si>
    <t>The CSM explained the current strategy as {call_strategy_explanation}. Explanation quality assessed as {explanation_quality}.</t>
  </si>
  <si>
    <t>If the CSM cannot explain the reasoning behind the strategy, ownership is weak even if some documentation exists.</t>
  </si>
  <si>
    <t>Use project targets + CS Notes to infer the true objective when no separate objective field exists.</t>
  </si>
  <si>
    <t>Use for growth-vs-efficiency tradeoffs and seasonal planning conflicts.</t>
  </si>
  <si>
    <t>Look for pricing, inventory, stakeholder, budget, profitability, or execution blockers.</t>
  </si>
  <si>
    <t>Use this when notes reference launches, peak season, promotions, or cyclical category demand.</t>
  </si>
  <si>
    <t>Use for inventory, buy box, listing, margin, and pricing constraints.</t>
  </si>
  <si>
    <t>Primary roadmap control until journey tabs become consistently populated.</t>
  </si>
  <si>
    <t>Important contradiction check between targets, notes, and actual performance.</t>
  </si>
  <si>
    <t>Use top-parent concentration as a proxy for strategic focus complexity.</t>
  </si>
  <si>
    <t>Keep as partial / source-limited until call data is consistently available.</t>
  </si>
  <si>
    <t>Use this to capture exceptions, overrides, imports, and unmanaged pockets.</t>
  </si>
  <si>
    <t>One of the most objective mastery controls in the new tab set.</t>
  </si>
  <si>
    <t>Good bridge control between mastery and framework logic.</t>
  </si>
  <si>
    <t>Manual reviewer control; not sourced from Databricks.</t>
  </si>
  <si>
    <t>Manual reviewer control focused on reasoning quality.</t>
  </si>
  <si>
    <t xml:space="preserve">Primary Objective </t>
  </si>
  <si>
    <t>Monthly Budget</t>
  </si>
  <si>
    <t>Context for Customizations</t>
  </si>
  <si>
    <t>ACoS Objective&gt;</t>
  </si>
  <si>
    <t>TACoS Objective &gt;</t>
  </si>
  <si>
    <t>Client Journey Map</t>
  </si>
  <si>
    <t>Key mastery signals are missing or inconsistent, which limits confidence in account ownership and account-story accuracy.</t>
  </si>
  <si>
    <t xml:space="preserve">Compliant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</si>
</sst>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9"/>
      <color rgb="FFFFFFFF"/>
      <name val="Calibri"/>
      <family val="2"/>
    </font>
    <font>
      <sz val="9"/>
      <color theme="1"/>
      <name val="Calibri"/>
      <family val="2"/>
      <scheme val="minor"/>
    </font>
    <font>
      <b/>
      <sz val="12"/>
      <color theme="1"/>
      <name val="Calibri"/>
      <family val="2"/>
      <scheme val="minor"/>
    </font>
    <font>
      <sz val="9"/>
      <name val="Calibri"/>
      <family val="2"/>
      <scheme val="minor"/>
    </font>
    <font>
      <sz val="11"/>
      <name val="Calibri"/>
      <family val="2"/>
      <scheme val="minor"/>
    </font>
    <font>
      <sz val="8"/>
      <name val="Calibri"/>
      <family val="2"/>
      <scheme val="minor"/>
    </font>
  </fonts>
  <fills count="8">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s>
  <borders count="22">
    <border>
      <left/>
      <right/>
      <top/>
      <bottom/>
      <diagonal/>
    </border>
    <border>
      <left style="thin">
        <color rgb="FFD0D0D0"/>
      </left>
      <right style="thin">
        <color rgb="FFD0D0D0"/>
      </right>
      <top style="thin">
        <color rgb="FFD0D0D0"/>
      </top>
      <bottom style="thin">
        <color rgb="FFD0D0D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theme="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68">
    <xf numFmtId="0" fontId="0" fillId="0" borderId="0" xfId="0"/>
    <xf numFmtId="0" fontId="5" fillId="2" borderId="1" xfId="0" applyFont="1" applyFill="1" applyBorder="1" applyAlignment="1">
      <alignment horizontal="center" vertical="center" wrapText="1"/>
    </xf>
    <xf numFmtId="0" fontId="7" fillId="3" borderId="0" xfId="0" applyFont="1" applyFill="1"/>
    <xf numFmtId="0" fontId="6" fillId="0" borderId="2" xfId="0" applyFont="1" applyBorder="1" applyAlignment="1">
      <alignment horizontal="center" vertical="center" wrapText="1"/>
    </xf>
    <xf numFmtId="0" fontId="8" fillId="4" borderId="0" xfId="0" applyFont="1" applyFill="1"/>
    <xf numFmtId="0" fontId="0" fillId="0" borderId="0" xfId="0" applyAlignment="1">
      <alignment horizontal="center" vertical="center"/>
    </xf>
    <xf numFmtId="0" fontId="5" fillId="5" borderId="1" xfId="0" applyFont="1" applyFill="1" applyBorder="1" applyAlignment="1">
      <alignment horizontal="center" vertical="center" wrapText="1"/>
    </xf>
    <xf numFmtId="0" fontId="6" fillId="6" borderId="0" xfId="0" applyFont="1" applyFill="1" applyAlignment="1">
      <alignment horizontal="center" vertical="center" wrapText="1"/>
    </xf>
    <xf numFmtId="0" fontId="0" fillId="5" borderId="0" xfId="0" applyFill="1"/>
    <xf numFmtId="0" fontId="0" fillId="5" borderId="0" xfId="0" applyFill="1" applyAlignment="1">
      <alignment horizontal="center" vertical="center"/>
    </xf>
    <xf numFmtId="0" fontId="6" fillId="6" borderId="4" xfId="0" applyFont="1" applyFill="1" applyBorder="1" applyAlignment="1">
      <alignment horizontal="center" vertical="center" wrapText="1"/>
    </xf>
    <xf numFmtId="0" fontId="0" fillId="5" borderId="0" xfId="0" applyFill="1" applyAlignment="1">
      <alignment horizontal="center" vertical="center" wrapText="1"/>
    </xf>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0" fillId="0" borderId="7" xfId="0" applyBorder="1"/>
    <xf numFmtId="0" fontId="0" fillId="5" borderId="7" xfId="0" applyFill="1" applyBorder="1"/>
    <xf numFmtId="22" fontId="0" fillId="5" borderId="7" xfId="0" applyNumberFormat="1" applyFill="1" applyBorder="1" applyAlignment="1">
      <alignment horizontal="left"/>
    </xf>
    <xf numFmtId="0" fontId="0" fillId="5" borderId="9" xfId="0" applyFill="1" applyBorder="1"/>
    <xf numFmtId="0" fontId="0" fillId="5" borderId="7" xfId="0" applyFill="1" applyBorder="1" applyAlignment="1">
      <alignment wrapText="1"/>
    </xf>
    <xf numFmtId="0" fontId="12" fillId="0" borderId="7" xfId="0" applyFont="1" applyBorder="1"/>
    <xf numFmtId="0" fontId="2" fillId="5" borderId="0" xfId="0" applyFont="1" applyFill="1"/>
    <xf numFmtId="0" fontId="9" fillId="5" borderId="0" xfId="0" applyFont="1" applyFill="1" applyAlignment="1">
      <alignment horizontal="center" vertical="top" wrapText="1"/>
    </xf>
    <xf numFmtId="0" fontId="0" fillId="0" borderId="0" xfId="0" applyAlignment="1">
      <alignment horizontal="center" vertical="center" wrapText="1"/>
    </xf>
    <xf numFmtId="0" fontId="11" fillId="0" borderId="0" xfId="0" applyFont="1" applyAlignment="1">
      <alignment horizontal="center" vertical="center" wrapText="1"/>
    </xf>
    <xf numFmtId="0" fontId="13" fillId="0" borderId="2" xfId="0" applyFont="1" applyBorder="1" applyAlignment="1">
      <alignment horizontal="center" vertical="center" wrapText="1"/>
    </xf>
    <xf numFmtId="0" fontId="14" fillId="0" borderId="2" xfId="0" applyFont="1" applyBorder="1" applyAlignment="1">
      <alignment horizontal="center" vertical="center" wrapText="1"/>
    </xf>
    <xf numFmtId="0" fontId="5" fillId="2" borderId="12"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10" fillId="2" borderId="3" xfId="0" applyFont="1" applyFill="1" applyBorder="1" applyAlignment="1">
      <alignment horizontal="center" vertical="center" wrapText="1"/>
    </xf>
    <xf numFmtId="0" fontId="5" fillId="2" borderId="13" xfId="0" applyFont="1" applyFill="1" applyBorder="1" applyAlignment="1">
      <alignment horizontal="center" vertical="center" wrapText="1"/>
    </xf>
    <xf numFmtId="0" fontId="0" fillId="0" borderId="14" xfId="0" applyBorder="1" applyAlignment="1">
      <alignment horizontal="center" vertical="center" wrapText="1"/>
    </xf>
    <xf numFmtId="0" fontId="0" fillId="0" borderId="2" xfId="0" applyBorder="1" applyAlignment="1">
      <alignment horizontal="center" vertical="center" wrapText="1"/>
    </xf>
    <xf numFmtId="0" fontId="0" fillId="0" borderId="2" xfId="0" applyBorder="1"/>
    <xf numFmtId="0" fontId="0" fillId="0" borderId="15" xfId="0" applyBorder="1" applyAlignment="1">
      <alignment wrapText="1"/>
    </xf>
    <xf numFmtId="0" fontId="14" fillId="0" borderId="14" xfId="0" applyFont="1" applyBorder="1" applyAlignment="1">
      <alignment horizontal="center" vertical="center" wrapText="1"/>
    </xf>
    <xf numFmtId="0" fontId="1" fillId="7" borderId="5" xfId="0" applyFont="1" applyFill="1" applyBorder="1" applyAlignment="1">
      <alignment horizontal="center" vertical="center"/>
    </xf>
    <xf numFmtId="0" fontId="0" fillId="7" borderId="8" xfId="0" applyFill="1" applyBorder="1"/>
    <xf numFmtId="0" fontId="0" fillId="7" borderId="6" xfId="0" applyFill="1" applyBorder="1"/>
    <xf numFmtId="0" fontId="3" fillId="5" borderId="0" xfId="0" applyFont="1" applyFill="1" applyAlignment="1">
      <alignment horizontal="left" vertical="top" wrapText="1"/>
    </xf>
    <xf numFmtId="0" fontId="0" fillId="0" borderId="0" xfId="0"/>
    <xf numFmtId="0" fontId="2" fillId="5" borderId="0" xfId="0" applyFont="1" applyFill="1"/>
    <xf numFmtId="0" fontId="4" fillId="0" borderId="0" xfId="0" applyFont="1" applyAlignment="1">
      <alignment horizontal="left" vertical="top" wrapText="1"/>
    </xf>
    <xf numFmtId="0" fontId="9" fillId="5" borderId="10" xfId="0" applyFont="1" applyFill="1" applyBorder="1" applyAlignment="1">
      <alignment horizontal="center" vertical="top" wrapText="1"/>
    </xf>
    <xf numFmtId="0" fontId="0" fillId="0" borderId="8" xfId="0" applyBorder="1"/>
    <xf numFmtId="0" fontId="1" fillId="5" borderId="5" xfId="0" applyFont="1" applyFill="1" applyBorder="1" applyAlignment="1">
      <alignment horizontal="center" vertical="center"/>
    </xf>
    <xf numFmtId="0" fontId="0" fillId="0" borderId="6" xfId="0" applyBorder="1"/>
    <xf numFmtId="0" fontId="0" fillId="0" borderId="0" xfId="0" applyAlignment="1">
      <alignment horizontal="center"/>
    </xf>
    <xf numFmtId="0" fontId="0" fillId="5" borderId="10" xfId="0" applyFill="1" applyBorder="1" applyAlignment="1">
      <alignment horizontal="center"/>
    </xf>
    <xf numFmtId="0" fontId="0" fillId="5" borderId="8" xfId="0" applyFill="1" applyBorder="1" applyAlignment="1">
      <alignment horizontal="center"/>
    </xf>
    <xf numFmtId="0" fontId="0" fillId="5" borderId="16" xfId="0" applyFill="1" applyBorder="1" applyAlignment="1">
      <alignment horizontal="center"/>
    </xf>
    <xf numFmtId="0" fontId="0" fillId="5" borderId="20" xfId="0" applyFill="1" applyBorder="1" applyAlignment="1">
      <alignment horizontal="center"/>
    </xf>
    <xf numFmtId="0" fontId="0" fillId="5" borderId="17" xfId="0" applyFill="1" applyBorder="1" applyAlignment="1">
      <alignment horizontal="center"/>
    </xf>
    <xf numFmtId="0" fontId="0" fillId="5" borderId="18" xfId="0" applyFill="1" applyBorder="1" applyAlignment="1">
      <alignment horizontal="center"/>
    </xf>
    <xf numFmtId="0" fontId="2" fillId="5" borderId="10" xfId="0" applyFont="1" applyFill="1" applyBorder="1" applyAlignment="1">
      <alignment horizontal="center" vertical="center"/>
    </xf>
    <xf numFmtId="0" fontId="2" fillId="5" borderId="16" xfId="0" applyFont="1" applyFill="1" applyBorder="1" applyAlignment="1">
      <alignment horizontal="center" vertical="center"/>
    </xf>
    <xf numFmtId="0" fontId="2" fillId="5" borderId="20" xfId="0" applyFont="1" applyFill="1" applyBorder="1" applyAlignment="1">
      <alignment horizontal="center" vertical="center"/>
    </xf>
    <xf numFmtId="0" fontId="2" fillId="5" borderId="18" xfId="0" applyFont="1" applyFill="1" applyBorder="1" applyAlignment="1">
      <alignment horizontal="center" vertical="center"/>
    </xf>
    <xf numFmtId="0" fontId="2" fillId="5" borderId="19" xfId="0" applyFont="1" applyFill="1" applyBorder="1" applyAlignment="1">
      <alignment horizontal="center" vertical="center"/>
    </xf>
    <xf numFmtId="0" fontId="2" fillId="5" borderId="11" xfId="0" applyFont="1" applyFill="1" applyBorder="1" applyAlignment="1">
      <alignment horizontal="center" vertical="center"/>
    </xf>
    <xf numFmtId="0" fontId="0" fillId="5" borderId="19" xfId="0" applyFill="1" applyBorder="1" applyAlignment="1">
      <alignment horizontal="center"/>
    </xf>
    <xf numFmtId="0" fontId="0" fillId="5" borderId="0" xfId="0" applyFill="1" applyAlignment="1">
      <alignment horizontal="center"/>
    </xf>
    <xf numFmtId="0" fontId="0" fillId="5" borderId="11" xfId="0" applyFill="1" applyBorder="1" applyAlignment="1">
      <alignment horizontal="center"/>
    </xf>
    <xf numFmtId="0" fontId="2" fillId="5" borderId="5" xfId="0" applyFont="1" applyFill="1" applyBorder="1" applyAlignment="1">
      <alignment horizontal="center" wrapText="1"/>
    </xf>
    <xf numFmtId="0" fontId="2" fillId="5" borderId="21" xfId="0" applyFont="1" applyFill="1" applyBorder="1" applyAlignment="1">
      <alignment horizontal="center" wrapText="1"/>
    </xf>
  </cellXfs>
  <cellStyles count="1">
    <cellStyle name="Normal" xfId="0" builtinId="0"/>
  </cellStyles>
  <dxfs count="28">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strike val="0"/>
        <condense val="0"/>
        <extend val="0"/>
        <outline val="0"/>
        <shadow val="0"/>
        <vertAlign val="baseline"/>
        <sz val="9"/>
        <color auto="1"/>
        <name val="Calibri"/>
        <family val="2"/>
      </font>
      <alignment horizontal="left" vertical="top"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u val="none"/>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patternType="solid">
          <fgColor indexed="64"/>
          <bgColor rgb="FF1F4E79"/>
        </patternFill>
      </fill>
      <alignment horizontal="center" vertical="center" wrapText="1"/>
      <border diagonalUp="0" diagonalDown="0">
        <left style="thin">
          <color indexed="64"/>
        </left>
        <right style="thin">
          <color indexed="64"/>
        </right>
        <top/>
        <bottom/>
        <vertical style="thin">
          <color indexed="64"/>
        </vertical>
        <horizontal style="thin">
          <color indexed="64"/>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N15" totalsRowShown="0" headerRowDxfId="27" dataDxfId="25" headerRowBorderDxfId="26" tableBorderDxfId="24" totalsRowBorderDxfId="23">
  <autoFilter ref="A1:N15" xr:uid="{00000000-0009-0000-0100-000001000000}"/>
  <tableColumns count="14">
    <tableColumn id="1" xr3:uid="{00000000-0010-0000-0000-000001000000}" name="Block" dataDxfId="22"/>
    <tableColumn id="2" xr3:uid="{00000000-0010-0000-0000-000002000000}" name="Control ID" dataDxfId="21"/>
    <tableColumn id="3" xr3:uid="{00000000-0010-0000-0000-000003000000}" name="Control Name" dataDxfId="20"/>
    <tableColumn id="4" xr3:uid="{00000000-0010-0000-0000-000004000000}" name="STATUS" dataDxfId="19"/>
    <tableColumn id="5" xr3:uid="{00000000-0010-0000-0000-000005000000}" name="What" dataDxfId="18"/>
    <tableColumn id="6" xr3:uid="{00000000-0010-0000-0000-000006000000}" name="Why" dataDxfId="17"/>
    <tableColumn id="7" xr3:uid="{00000000-0010-0000-0000-000007000000}" name="How" dataDxfId="16"/>
    <tableColumn id="14" xr3:uid="{00000000-0010-0000-0000-00000E000000}" name="What We Saw" dataDxfId="15"/>
    <tableColumn id="13" xr3:uid="{00000000-0010-0000-0000-00000D000000}" name="Why It Matters" dataDxfId="14"/>
    <tableColumn id="8" xr3:uid="{00000000-0010-0000-0000-000008000000}" name="Data Source" dataDxfId="13"/>
    <tableColumn id="9" xr3:uid="{00000000-0010-0000-0000-000009000000}" name="Impact" dataDxfId="12">
      <calculatedColumnFormula>VLOOKUP(Table1[[#This Row],[Importance]],'Logic and Calculation'!$H$3:$J$12,3,FALSE)</calculatedColumnFormula>
    </tableColumn>
    <tableColumn id="10" xr3:uid="{00000000-0010-0000-0000-00000A000000}" name="Importance" dataDxfId="11"/>
    <tableColumn id="11" xr3:uid="{00000000-0010-0000-0000-00000B000000}" name="Priority" dataDxfId="10">
      <calculatedColumnFormula>VLOOKUP(Table1[[#This Row],[Importance]],'Logic and Calculation'!$H$3:$J$12,2,FALSE)</calculatedColumnFormula>
    </tableColumn>
    <tableColumn id="12" xr3:uid="{00000000-0010-0000-0000-00000C000000}" name="Notes/Intent" dataDxfId="9"/>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E51"/>
  <sheetViews>
    <sheetView zoomScale="70" zoomScaleNormal="70" workbookViewId="0">
      <pane ySplit="8" topLeftCell="A9" activePane="bottomLeft" state="frozen"/>
      <selection pane="bottomLeft" activeCell="D24" sqref="D24"/>
    </sheetView>
  </sheetViews>
  <sheetFormatPr defaultRowHeight="14.4" x14ac:dyDescent="0.3"/>
  <cols>
    <col min="1" max="1" width="21.44140625" customWidth="1"/>
    <col min="2" max="2" width="27.5546875" customWidth="1"/>
    <col min="3" max="3" width="38.21875" customWidth="1"/>
    <col min="4" max="4" width="52" style="14" customWidth="1"/>
    <col min="5" max="5" width="50.21875" style="14" customWidth="1"/>
    <col min="6" max="6" width="34.44140625" customWidth="1"/>
    <col min="7" max="7" width="26.77734375" style="8" customWidth="1"/>
    <col min="8" max="8" width="21.5546875" style="8" bestFit="1" customWidth="1"/>
    <col min="9" max="9" width="26.21875" style="8" bestFit="1" customWidth="1"/>
    <col min="10" max="10" width="19.6640625" style="8" bestFit="1" customWidth="1"/>
    <col min="11" max="11" width="19.44140625" style="8" bestFit="1" customWidth="1"/>
    <col min="12" max="12" width="21.88671875" style="8" bestFit="1" customWidth="1"/>
    <col min="13" max="13" width="25" style="8" bestFit="1" customWidth="1"/>
    <col min="14" max="14" width="25.6640625" style="8" bestFit="1" customWidth="1"/>
    <col min="15" max="15" width="28.44140625" style="8" bestFit="1" customWidth="1"/>
    <col min="16" max="16" width="27.6640625" style="8" bestFit="1" customWidth="1"/>
    <col min="17" max="17" width="22.33203125" style="8" bestFit="1" customWidth="1"/>
    <col min="18" max="18" width="16.88671875" style="8" bestFit="1" customWidth="1"/>
    <col min="19" max="19" width="10.6640625" style="8" bestFit="1" customWidth="1"/>
    <col min="20" max="20" width="26.6640625" style="8" bestFit="1" customWidth="1"/>
    <col min="21" max="21" width="27.6640625" style="8" bestFit="1" customWidth="1"/>
    <col min="22" max="22" width="18.88671875" style="8" bestFit="1" customWidth="1"/>
    <col min="23" max="23" width="20" style="8" bestFit="1" customWidth="1"/>
    <col min="24" max="24" width="14.44140625" style="8" bestFit="1" customWidth="1"/>
    <col min="25" max="25" width="19.44140625" style="8" bestFit="1" customWidth="1"/>
    <col min="26" max="26" width="12.77734375" style="8" bestFit="1" customWidth="1"/>
    <col min="27" max="27" width="30.44140625" style="8" bestFit="1" customWidth="1"/>
    <col min="28" max="28" width="24.88671875" style="8" bestFit="1" customWidth="1"/>
    <col min="29" max="29" width="20.44140625" style="8" bestFit="1" customWidth="1"/>
    <col min="30" max="30" width="16.109375" style="8" bestFit="1" customWidth="1"/>
    <col min="31" max="31" width="21.5546875" style="8" bestFit="1" customWidth="1"/>
    <col min="32" max="32" width="25.77734375" bestFit="1" customWidth="1"/>
    <col min="33" max="33" width="16.88671875" bestFit="1" customWidth="1"/>
    <col min="34" max="34" width="24.109375" bestFit="1" customWidth="1"/>
    <col min="35" max="35" width="26" bestFit="1" customWidth="1"/>
    <col min="36" max="36" width="22.21875" bestFit="1" customWidth="1"/>
    <col min="37" max="37" width="28" bestFit="1" customWidth="1"/>
    <col min="38" max="38" width="22.21875" bestFit="1" customWidth="1"/>
    <col min="39" max="39" width="16.77734375" bestFit="1" customWidth="1"/>
    <col min="40" max="40" width="14.33203125" bestFit="1" customWidth="1"/>
    <col min="41" max="41" width="16.5546875" bestFit="1" customWidth="1"/>
    <col min="42" max="42" width="15.5546875" bestFit="1" customWidth="1"/>
    <col min="43" max="43" width="21.21875" bestFit="1" customWidth="1"/>
    <col min="44" max="44" width="19.33203125" bestFit="1" customWidth="1"/>
    <col min="45" max="45" width="20.21875" bestFit="1" customWidth="1"/>
    <col min="46" max="46" width="18.5546875" bestFit="1" customWidth="1"/>
    <col min="47" max="47" width="19.6640625" bestFit="1" customWidth="1"/>
    <col min="48" max="48" width="29.33203125" bestFit="1" customWidth="1"/>
    <col min="49" max="49" width="12.44140625" bestFit="1" customWidth="1"/>
    <col min="50" max="50" width="22.6640625" bestFit="1" customWidth="1"/>
    <col min="51" max="51" width="15.77734375" bestFit="1" customWidth="1"/>
    <col min="52" max="52" width="28.21875" bestFit="1" customWidth="1"/>
    <col min="53" max="53" width="21.5546875" bestFit="1" customWidth="1"/>
    <col min="54" max="54" width="26.33203125" bestFit="1" customWidth="1"/>
    <col min="55" max="55" width="19.5546875" bestFit="1" customWidth="1"/>
    <col min="56" max="56" width="11" bestFit="1" customWidth="1"/>
  </cols>
  <sheetData>
    <row r="1" spans="1:6" ht="28.05" customHeight="1" thickBot="1" x14ac:dyDescent="0.35">
      <c r="A1" s="39" t="s">
        <v>57</v>
      </c>
      <c r="B1" s="40"/>
      <c r="C1" s="41"/>
      <c r="D1" s="41"/>
      <c r="E1" s="41"/>
      <c r="F1" s="41"/>
    </row>
    <row r="2" spans="1:6" ht="15" thickBot="1" x14ac:dyDescent="0.35">
      <c r="A2" s="17" t="s">
        <v>70</v>
      </c>
      <c r="B2" s="19" t="s">
        <v>71</v>
      </c>
      <c r="C2" s="8"/>
      <c r="D2" s="42"/>
      <c r="E2" s="43"/>
      <c r="F2" s="43"/>
    </row>
    <row r="3" spans="1:6" ht="15" thickBot="1" x14ac:dyDescent="0.35">
      <c r="A3" s="16" t="s">
        <v>47</v>
      </c>
      <c r="B3" s="18" t="s">
        <v>48</v>
      </c>
      <c r="D3" s="15"/>
      <c r="E3"/>
    </row>
    <row r="4" spans="1:6" ht="14.4" customHeight="1" thickBot="1" x14ac:dyDescent="0.35">
      <c r="A4" s="17" t="s">
        <v>46</v>
      </c>
      <c r="B4" s="21" t="s">
        <v>49</v>
      </c>
      <c r="C4" s="8"/>
      <c r="D4" s="42"/>
      <c r="E4" s="43"/>
      <c r="F4" s="43"/>
    </row>
    <row r="5" spans="1:6" ht="14.4" customHeight="1" thickBot="1" x14ac:dyDescent="0.35">
      <c r="A5" s="17" t="s">
        <v>50</v>
      </c>
      <c r="B5" s="20">
        <v>46083.684884259259</v>
      </c>
      <c r="C5" s="8"/>
      <c r="D5" s="15"/>
      <c r="E5"/>
    </row>
    <row r="6" spans="1:6" ht="15" thickBot="1" x14ac:dyDescent="0.35">
      <c r="A6" s="8"/>
      <c r="B6" s="8"/>
      <c r="C6" s="8"/>
      <c r="D6" s="13"/>
      <c r="E6" s="13"/>
      <c r="F6" s="8"/>
    </row>
    <row r="7" spans="1:6" ht="21" customHeight="1" thickBot="1" x14ac:dyDescent="0.35">
      <c r="A7" s="44" t="s">
        <v>69</v>
      </c>
      <c r="B7" s="43"/>
      <c r="C7" s="43"/>
      <c r="D7" s="48" t="e">
        <f>'Logic and Calculation'!B5</f>
        <v>#REF!</v>
      </c>
      <c r="E7" s="49"/>
      <c r="F7" s="49"/>
    </row>
    <row r="8" spans="1:6" ht="18" customHeight="1" x14ac:dyDescent="0.3">
      <c r="A8" s="44" t="s">
        <v>0</v>
      </c>
      <c r="B8" s="43"/>
      <c r="C8" s="43"/>
      <c r="D8" s="46" t="e" cm="1">
        <f t="array" ref="D8">_xlfn.IFS(D7='Logic and Calculation'!L3,'Logic and Calculation'!M3,D7='Logic and Calculation'!L4,'Logic and Calculation'!M4,D7='Logic and Calculation'!L5,'Logic and Calculation'!M5)</f>
        <v>#REF!</v>
      </c>
      <c r="E8" s="47"/>
      <c r="F8" s="47"/>
    </row>
    <row r="9" spans="1:6" s="8" customFormat="1" ht="18" customHeight="1" x14ac:dyDescent="0.3">
      <c r="A9" s="24"/>
      <c r="D9" s="25"/>
    </row>
    <row r="10" spans="1:6" s="8" customFormat="1" ht="18" customHeight="1" thickBot="1" x14ac:dyDescent="0.35">
      <c r="A10" s="24"/>
      <c r="D10" s="25"/>
    </row>
    <row r="11" spans="1:6" s="8" customFormat="1" ht="18" customHeight="1" x14ac:dyDescent="0.3">
      <c r="A11" s="57" t="s">
        <v>182</v>
      </c>
      <c r="B11" s="58"/>
      <c r="C11" s="51"/>
      <c r="D11" s="52"/>
      <c r="E11" s="52"/>
      <c r="F11" s="53"/>
    </row>
    <row r="12" spans="1:6" s="8" customFormat="1" ht="18" customHeight="1" thickBot="1" x14ac:dyDescent="0.35">
      <c r="A12" s="59"/>
      <c r="B12" s="60"/>
      <c r="C12" s="54"/>
      <c r="D12" s="55"/>
      <c r="E12" s="55"/>
      <c r="F12" s="56"/>
    </row>
    <row r="13" spans="1:6" s="8" customFormat="1" ht="18" customHeight="1" x14ac:dyDescent="0.3">
      <c r="A13" s="57" t="s">
        <v>184</v>
      </c>
      <c r="B13" s="58"/>
      <c r="C13" s="51"/>
      <c r="D13" s="52"/>
      <c r="E13" s="52"/>
      <c r="F13" s="53"/>
    </row>
    <row r="14" spans="1:6" s="8" customFormat="1" ht="18" customHeight="1" x14ac:dyDescent="0.3">
      <c r="A14" s="61"/>
      <c r="B14" s="62"/>
      <c r="C14" s="63"/>
      <c r="D14" s="64"/>
      <c r="E14" s="64"/>
      <c r="F14" s="65"/>
    </row>
    <row r="15" spans="1:6" s="8" customFormat="1" ht="18" customHeight="1" thickBot="1" x14ac:dyDescent="0.35">
      <c r="A15" s="59"/>
      <c r="B15" s="60"/>
      <c r="C15" s="54"/>
      <c r="D15" s="55"/>
      <c r="E15" s="55"/>
      <c r="F15" s="56"/>
    </row>
    <row r="16" spans="1:6" s="8" customFormat="1" ht="18" customHeight="1" thickBot="1" x14ac:dyDescent="0.35">
      <c r="A16" s="66" t="s">
        <v>183</v>
      </c>
      <c r="B16" s="67"/>
      <c r="C16" s="19"/>
      <c r="D16" s="25"/>
    </row>
    <row r="17" spans="1:7" s="8" customFormat="1" ht="18" customHeight="1" thickBot="1" x14ac:dyDescent="0.35">
      <c r="A17" s="24"/>
      <c r="D17" s="25"/>
    </row>
    <row r="18" spans="1:7" s="8" customFormat="1" ht="18" customHeight="1" thickBot="1" x14ac:dyDescent="0.35">
      <c r="A18" s="16" t="s">
        <v>185</v>
      </c>
      <c r="B18" s="18"/>
      <c r="D18" s="25"/>
    </row>
    <row r="19" spans="1:7" s="8" customFormat="1" ht="18" customHeight="1" thickBot="1" x14ac:dyDescent="0.35">
      <c r="A19" s="16" t="s">
        <v>186</v>
      </c>
      <c r="B19" s="19"/>
      <c r="D19" s="25"/>
    </row>
    <row r="20" spans="1:7" s="8" customFormat="1" ht="18" customHeight="1" x14ac:dyDescent="0.3">
      <c r="A20" s="24"/>
      <c r="D20" s="25"/>
    </row>
    <row r="21" spans="1:7" s="8" customFormat="1" ht="18" customHeight="1" thickBot="1" x14ac:dyDescent="0.35">
      <c r="A21" s="24"/>
      <c r="D21" s="25"/>
    </row>
    <row r="22" spans="1:7" ht="18" customHeight="1" thickBot="1" x14ac:dyDescent="0.35">
      <c r="A22" s="16" t="s">
        <v>53</v>
      </c>
      <c r="B22" s="18"/>
      <c r="C22" s="8"/>
      <c r="D22" s="50"/>
      <c r="E22" s="50"/>
      <c r="F22" s="50"/>
    </row>
    <row r="23" spans="1:7" ht="18" customHeight="1" thickBot="1" x14ac:dyDescent="0.35">
      <c r="A23" s="16" t="s">
        <v>54</v>
      </c>
      <c r="B23" s="19"/>
      <c r="C23" s="8"/>
      <c r="D23" s="23" t="s">
        <v>56</v>
      </c>
      <c r="E23" s="22"/>
      <c r="F23" s="8"/>
    </row>
    <row r="24" spans="1:7" ht="18" customHeight="1" thickBot="1" x14ac:dyDescent="0.35">
      <c r="A24" s="16" t="s">
        <v>55</v>
      </c>
      <c r="B24" s="20"/>
      <c r="C24" s="8"/>
      <c r="D24" s="13"/>
      <c r="E24" s="13"/>
      <c r="F24" s="8"/>
    </row>
    <row r="25" spans="1:7" ht="18" customHeight="1" x14ac:dyDescent="0.3">
      <c r="A25" s="8"/>
      <c r="B25" s="8"/>
      <c r="C25" s="8"/>
      <c r="D25" s="13"/>
      <c r="E25" s="13"/>
      <c r="F25" s="8"/>
    </row>
    <row r="26" spans="1:7" x14ac:dyDescent="0.3">
      <c r="A26" s="45" t="s">
        <v>1</v>
      </c>
      <c r="B26" s="43"/>
      <c r="C26" s="43"/>
      <c r="D26" s="43"/>
      <c r="E26" s="43"/>
      <c r="F26" s="43"/>
    </row>
    <row r="27" spans="1:7" ht="19.95" customHeight="1" x14ac:dyDescent="0.3">
      <c r="A27" s="1" t="s">
        <v>2</v>
      </c>
      <c r="B27" s="1" t="s">
        <v>3</v>
      </c>
      <c r="C27" s="1" t="s">
        <v>4</v>
      </c>
      <c r="D27" s="1" t="s">
        <v>5</v>
      </c>
      <c r="E27" s="1" t="s">
        <v>6</v>
      </c>
      <c r="F27" s="1" t="s">
        <v>7</v>
      </c>
      <c r="G27" s="6"/>
    </row>
    <row r="28" spans="1:7" ht="44.4" customHeight="1" x14ac:dyDescent="0.3">
      <c r="A28" s="9" t="str" cm="1">
        <f t="array" ref="A28">_xlfn.LET(
  _xlpm.id, 'Account Mastery_Reference'!B2:B15,
  _xlpm.name, 'Account Mastery_Reference'!C2:C15,
  _xlpm.st, 'Account Mastery_Reference'!D2:D15,
  _xlpm.saw, 'Account Mastery_Reference'!H2:H15,
  _xlpm.matter, 'Account Mastery_Reference'!I2:I15,
  _xlpm.impact, 'Account Mastery_Reference'!K2:K15,
  _xlpm.data, _xlfn.HSTACK(_xlpm.id, _xlpm.name, _xlpm.st, _xlpm.saw, _xlpm.matter, _xlpm.impact),
  _xlfn._xlws.FILTER(_xlpm.data, _xlpm.st&lt;&gt;"OK", "No findings — all controls OK")
)</f>
        <v>No findings — all controls OK</v>
      </c>
      <c r="B28" s="9"/>
      <c r="C28" s="10"/>
      <c r="D28" s="11"/>
      <c r="E28" s="11"/>
      <c r="F28" s="9"/>
    </row>
    <row r="29" spans="1:7" ht="44.4" customHeight="1" x14ac:dyDescent="0.3">
      <c r="A29" s="9"/>
      <c r="B29" s="9"/>
      <c r="C29" s="7"/>
      <c r="D29" s="11"/>
      <c r="E29" s="11"/>
      <c r="F29" s="9"/>
    </row>
    <row r="30" spans="1:7" ht="44.4" customHeight="1" x14ac:dyDescent="0.3">
      <c r="A30" s="9"/>
      <c r="B30" s="9"/>
      <c r="C30" s="7"/>
      <c r="D30" s="11"/>
      <c r="E30" s="11"/>
      <c r="F30" s="9"/>
    </row>
    <row r="31" spans="1:7" ht="44.4" customHeight="1" x14ac:dyDescent="0.3">
      <c r="A31" s="9"/>
      <c r="B31" s="9"/>
      <c r="C31" s="7"/>
      <c r="D31" s="11"/>
      <c r="E31" s="11"/>
      <c r="F31" s="9"/>
    </row>
    <row r="32" spans="1:7" ht="44.4" customHeight="1" x14ac:dyDescent="0.3">
      <c r="A32" s="9"/>
      <c r="B32" s="9"/>
      <c r="C32" s="7"/>
      <c r="D32" s="11"/>
      <c r="E32" s="11"/>
      <c r="F32" s="9"/>
    </row>
    <row r="33" spans="1:6" ht="44.4" customHeight="1" x14ac:dyDescent="0.3">
      <c r="A33" s="9"/>
      <c r="B33" s="9"/>
      <c r="C33" s="7"/>
      <c r="D33" s="11"/>
      <c r="E33" s="11"/>
      <c r="F33" s="9"/>
    </row>
    <row r="34" spans="1:6" ht="44.4" customHeight="1" x14ac:dyDescent="0.3">
      <c r="A34" s="9"/>
      <c r="B34" s="9"/>
      <c r="C34" s="7"/>
      <c r="D34" s="11"/>
      <c r="E34" s="11"/>
      <c r="F34" s="9"/>
    </row>
    <row r="35" spans="1:6" ht="44.4" customHeight="1" x14ac:dyDescent="0.3">
      <c r="A35" s="9"/>
      <c r="B35" s="9"/>
      <c r="C35" s="7"/>
      <c r="D35" s="11"/>
      <c r="E35" s="11"/>
      <c r="F35" s="9"/>
    </row>
    <row r="36" spans="1:6" ht="44.4" customHeight="1" x14ac:dyDescent="0.3">
      <c r="A36" s="9"/>
      <c r="B36" s="9"/>
      <c r="C36" s="7"/>
      <c r="D36" s="11"/>
      <c r="E36" s="11"/>
      <c r="F36" s="9"/>
    </row>
    <row r="37" spans="1:6" ht="44.4" customHeight="1" x14ac:dyDescent="0.3">
      <c r="A37" s="9"/>
      <c r="B37" s="9"/>
      <c r="C37" s="7"/>
      <c r="D37" s="11"/>
      <c r="E37" s="11"/>
      <c r="F37" s="9"/>
    </row>
    <row r="38" spans="1:6" ht="44.4" customHeight="1" x14ac:dyDescent="0.3">
      <c r="A38" s="9"/>
      <c r="B38" s="9"/>
      <c r="C38" s="7"/>
      <c r="D38" s="11"/>
      <c r="E38" s="11"/>
      <c r="F38" s="9"/>
    </row>
    <row r="39" spans="1:6" ht="44.4" customHeight="1" x14ac:dyDescent="0.3">
      <c r="A39" s="9"/>
      <c r="B39" s="9"/>
      <c r="C39" s="7"/>
      <c r="D39" s="11"/>
      <c r="E39" s="11"/>
      <c r="F39" s="9"/>
    </row>
    <row r="40" spans="1:6" ht="44.4" customHeight="1" x14ac:dyDescent="0.3">
      <c r="A40" s="9"/>
      <c r="B40" s="9"/>
      <c r="C40" s="7"/>
      <c r="D40" s="11"/>
      <c r="E40" s="11"/>
      <c r="F40" s="9"/>
    </row>
    <row r="41" spans="1:6" ht="44.4" customHeight="1" x14ac:dyDescent="0.3">
      <c r="A41" s="9"/>
      <c r="B41" s="9"/>
      <c r="C41" s="7"/>
      <c r="D41" s="11"/>
      <c r="E41" s="11"/>
      <c r="F41" s="9"/>
    </row>
    <row r="42" spans="1:6" ht="44.4" customHeight="1" x14ac:dyDescent="0.3">
      <c r="A42" s="8"/>
      <c r="B42" s="8"/>
      <c r="C42" s="7"/>
      <c r="D42" s="13"/>
      <c r="E42" s="13"/>
      <c r="F42" s="8"/>
    </row>
    <row r="43" spans="1:6" ht="44.4" customHeight="1" x14ac:dyDescent="0.3">
      <c r="A43" s="8"/>
      <c r="B43" s="8"/>
      <c r="C43" s="7"/>
      <c r="D43" s="13"/>
      <c r="E43" s="13"/>
      <c r="F43" s="8"/>
    </row>
    <row r="44" spans="1:6" ht="44.4" customHeight="1" x14ac:dyDescent="0.3">
      <c r="A44" s="8"/>
      <c r="B44" s="8"/>
      <c r="C44" s="7"/>
      <c r="D44" s="13"/>
      <c r="E44" s="13"/>
      <c r="F44" s="8"/>
    </row>
    <row r="45" spans="1:6" ht="44.4" customHeight="1" x14ac:dyDescent="0.3">
      <c r="A45" s="8"/>
      <c r="B45" s="8"/>
      <c r="C45" s="7"/>
      <c r="D45" s="13"/>
      <c r="E45" s="13"/>
      <c r="F45" s="8"/>
    </row>
    <row r="46" spans="1:6" ht="44.4" customHeight="1" x14ac:dyDescent="0.3">
      <c r="A46" s="8"/>
      <c r="B46" s="8"/>
      <c r="C46" s="7"/>
      <c r="D46" s="13"/>
      <c r="E46" s="13"/>
      <c r="F46" s="8"/>
    </row>
    <row r="47" spans="1:6" ht="44.4" customHeight="1" x14ac:dyDescent="0.3">
      <c r="C47" s="7"/>
    </row>
    <row r="48" spans="1:6" ht="44.4" customHeight="1" x14ac:dyDescent="0.3">
      <c r="C48" s="7"/>
    </row>
    <row r="49" spans="3:3" ht="44.4" customHeight="1" x14ac:dyDescent="0.3">
      <c r="C49" s="7"/>
    </row>
    <row r="50" spans="3:3" ht="44.4" customHeight="1" x14ac:dyDescent="0.3">
      <c r="C50" s="7"/>
    </row>
    <row r="51" spans="3:3" ht="44.4" customHeight="1" x14ac:dyDescent="0.3">
      <c r="C51" s="7"/>
    </row>
  </sheetData>
  <mergeCells count="14">
    <mergeCell ref="A1:F1"/>
    <mergeCell ref="D4:F4"/>
    <mergeCell ref="A7:C7"/>
    <mergeCell ref="A26:F26"/>
    <mergeCell ref="D8:F8"/>
    <mergeCell ref="A8:C8"/>
    <mergeCell ref="D2:F2"/>
    <mergeCell ref="D7:F7"/>
    <mergeCell ref="D22:F22"/>
    <mergeCell ref="C11:F12"/>
    <mergeCell ref="A11:B12"/>
    <mergeCell ref="A13:B15"/>
    <mergeCell ref="C13:F15"/>
    <mergeCell ref="A16:B16"/>
  </mergeCells>
  <conditionalFormatting sqref="C28:C51">
    <cfRule type="cellIs" dxfId="8" priority="4" stopIfTrue="1" operator="equal">
      <formula>"OK"</formula>
    </cfRule>
    <cfRule type="cellIs" dxfId="7" priority="5" stopIfTrue="1" operator="equal">
      <formula>"PARTIAL"</formula>
    </cfRule>
    <cfRule type="cellIs" dxfId="6" priority="6" stopIfTrue="1" operator="equal">
      <formula>"FLAG"</formula>
    </cfRule>
  </conditionalFormatting>
  <conditionalFormatting sqref="D7:F7">
    <cfRule type="containsText" dxfId="5" priority="1" operator="containsText" text="Compliant ">
      <formula>NOT(ISERROR(SEARCH("Compliant ",D7)))</formula>
    </cfRule>
    <cfRule type="containsText" dxfId="4" priority="2" operator="containsText" text="Needs Attention">
      <formula>NOT(ISERROR(SEARCH("Needs Attention",D7)))</formula>
    </cfRule>
    <cfRule type="containsText" dxfId="3" priority="3" operator="containsText" text="Not">
      <formula>NOT(ISERROR(SEARCH("Not",D7)))</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N15"/>
  <sheetViews>
    <sheetView tabSelected="1" zoomScale="70" zoomScaleNormal="70" workbookViewId="0">
      <pane ySplit="1" topLeftCell="A2" activePane="bottomLeft" state="frozen"/>
      <selection pane="bottomLeft" activeCell="C18" sqref="C18"/>
    </sheetView>
  </sheetViews>
  <sheetFormatPr defaultRowHeight="14.4" x14ac:dyDescent="0.3"/>
  <cols>
    <col min="1" max="1" width="22" style="5" customWidth="1"/>
    <col min="2" max="2" width="12.88671875" style="5" customWidth="1"/>
    <col min="3" max="3" width="30" style="5" customWidth="1"/>
    <col min="4" max="4" width="8.44140625" style="5" customWidth="1"/>
    <col min="5" max="5" width="48.5546875" style="27" customWidth="1"/>
    <col min="6" max="6" width="48.5546875" style="26" customWidth="1"/>
    <col min="7" max="7" width="74.88671875" style="26" customWidth="1"/>
    <col min="8" max="8" width="76.44140625" style="26" customWidth="1"/>
    <col min="9" max="9" width="59.88671875" style="26" customWidth="1"/>
    <col min="10" max="10" width="48" style="5" customWidth="1"/>
    <col min="11" max="11" width="10" customWidth="1"/>
    <col min="12" max="12" width="11.6640625" customWidth="1"/>
    <col min="13" max="13" width="22" customWidth="1"/>
    <col min="14" max="14" width="54.33203125" style="14" customWidth="1"/>
  </cols>
  <sheetData>
    <row r="1" spans="1:14" ht="28.2" customHeight="1" x14ac:dyDescent="0.3">
      <c r="A1" s="30" t="s">
        <v>8</v>
      </c>
      <c r="B1" s="31" t="s">
        <v>2</v>
      </c>
      <c r="C1" s="31" t="s">
        <v>3</v>
      </c>
      <c r="D1" s="31" t="s">
        <v>9</v>
      </c>
      <c r="E1" s="32" t="s">
        <v>10</v>
      </c>
      <c r="F1" s="31" t="s">
        <v>11</v>
      </c>
      <c r="G1" s="31" t="s">
        <v>12</v>
      </c>
      <c r="H1" s="31" t="s">
        <v>5</v>
      </c>
      <c r="I1" s="31" t="s">
        <v>6</v>
      </c>
      <c r="J1" s="31" t="s">
        <v>13</v>
      </c>
      <c r="K1" s="31" t="s">
        <v>7</v>
      </c>
      <c r="L1" s="31" t="s">
        <v>14</v>
      </c>
      <c r="M1" s="31" t="s">
        <v>15</v>
      </c>
      <c r="N1" s="33" t="s">
        <v>16</v>
      </c>
    </row>
    <row r="2" spans="1:14" ht="55.2" customHeight="1" x14ac:dyDescent="0.3">
      <c r="A2" s="34" t="s">
        <v>60</v>
      </c>
      <c r="B2" s="3" t="s">
        <v>17</v>
      </c>
      <c r="C2" s="35" t="s">
        <v>64</v>
      </c>
      <c r="D2" s="3" t="s">
        <v>18</v>
      </c>
      <c r="E2" s="35" t="s">
        <v>78</v>
      </c>
      <c r="F2" s="35" t="s">
        <v>79</v>
      </c>
      <c r="G2" s="35" t="s">
        <v>80</v>
      </c>
      <c r="H2" s="35" t="s">
        <v>81</v>
      </c>
      <c r="I2" s="35" t="s">
        <v>82</v>
      </c>
      <c r="J2" s="35" t="s">
        <v>83</v>
      </c>
      <c r="K2" s="3" t="str">
        <f>VLOOKUP(Table1[[#This Row],[Importance]],'Logic and Calculation'!$H$3:$J$12,3,FALSE)</f>
        <v>Critical</v>
      </c>
      <c r="L2" s="36">
        <v>10</v>
      </c>
      <c r="M2" s="3">
        <f>VLOOKUP(Table1[[#This Row],[Importance]],'Logic and Calculation'!$H$3:$J$12,2,FALSE)</f>
        <v>-18</v>
      </c>
      <c r="N2" s="37" t="s">
        <v>168</v>
      </c>
    </row>
    <row r="3" spans="1:14" ht="55.2" customHeight="1" x14ac:dyDescent="0.3">
      <c r="A3" s="34" t="s">
        <v>60</v>
      </c>
      <c r="B3" s="3" t="s">
        <v>20</v>
      </c>
      <c r="C3" s="35" t="s">
        <v>59</v>
      </c>
      <c r="D3" s="3" t="s">
        <v>18</v>
      </c>
      <c r="E3" s="35" t="s">
        <v>84</v>
      </c>
      <c r="F3" s="35" t="s">
        <v>85</v>
      </c>
      <c r="G3" s="35" t="s">
        <v>86</v>
      </c>
      <c r="H3" s="35" t="s">
        <v>87</v>
      </c>
      <c r="I3" s="35" t="s">
        <v>88</v>
      </c>
      <c r="J3" s="35" t="s">
        <v>89</v>
      </c>
      <c r="K3" s="3" t="str">
        <f>VLOOKUP(Table1[[#This Row],[Importance]],'Logic and Calculation'!$H$3:$J$12,3,FALSE)</f>
        <v>High</v>
      </c>
      <c r="L3" s="36">
        <v>8</v>
      </c>
      <c r="M3" s="3">
        <f>VLOOKUP(Table1[[#This Row],[Importance]],'Logic and Calculation'!$H$3:$J$12,2,FALSE)</f>
        <v>-13</v>
      </c>
      <c r="N3" s="37" t="s">
        <v>169</v>
      </c>
    </row>
    <row r="4" spans="1:14" ht="55.2" customHeight="1" x14ac:dyDescent="0.3">
      <c r="A4" s="34" t="s">
        <v>61</v>
      </c>
      <c r="B4" s="3" t="s">
        <v>21</v>
      </c>
      <c r="C4" s="35" t="s">
        <v>58</v>
      </c>
      <c r="D4" s="3" t="s">
        <v>18</v>
      </c>
      <c r="E4" s="35" t="s">
        <v>90</v>
      </c>
      <c r="F4" s="35" t="s">
        <v>91</v>
      </c>
      <c r="G4" s="35" t="s">
        <v>92</v>
      </c>
      <c r="H4" s="35" t="s">
        <v>93</v>
      </c>
      <c r="I4" s="35" t="s">
        <v>94</v>
      </c>
      <c r="J4" s="35" t="s">
        <v>95</v>
      </c>
      <c r="K4" s="3" t="str">
        <f>VLOOKUP(Table1[[#This Row],[Importance]],'Logic and Calculation'!$H$3:$J$12,3,FALSE)</f>
        <v>High</v>
      </c>
      <c r="L4" s="36">
        <v>9</v>
      </c>
      <c r="M4" s="3">
        <f>VLOOKUP(Table1[[#This Row],[Importance]],'Logic and Calculation'!$H$3:$J$12,2,FALSE)</f>
        <v>-15</v>
      </c>
      <c r="N4" s="37" t="s">
        <v>170</v>
      </c>
    </row>
    <row r="5" spans="1:14" ht="55.2" customHeight="1" x14ac:dyDescent="0.3">
      <c r="A5" s="34" t="s">
        <v>61</v>
      </c>
      <c r="B5" s="3" t="s">
        <v>22</v>
      </c>
      <c r="C5" s="35" t="s">
        <v>65</v>
      </c>
      <c r="D5" s="3" t="s">
        <v>18</v>
      </c>
      <c r="E5" s="35" t="s">
        <v>96</v>
      </c>
      <c r="F5" s="35" t="s">
        <v>97</v>
      </c>
      <c r="G5" s="35" t="s">
        <v>98</v>
      </c>
      <c r="H5" s="35" t="s">
        <v>99</v>
      </c>
      <c r="I5" s="35" t="s">
        <v>100</v>
      </c>
      <c r="J5" s="35" t="s">
        <v>101</v>
      </c>
      <c r="K5" s="3" t="str">
        <f>VLOOKUP(Table1[[#This Row],[Importance]],'Logic and Calculation'!$H$3:$J$12,3,FALSE)</f>
        <v>Medium</v>
      </c>
      <c r="L5" s="36">
        <v>6</v>
      </c>
      <c r="M5" s="3">
        <f>VLOOKUP(Table1[[#This Row],[Importance]],'Logic and Calculation'!$H$3:$J$12,2,FALSE)</f>
        <v>-9</v>
      </c>
      <c r="N5" s="37" t="s">
        <v>171</v>
      </c>
    </row>
    <row r="6" spans="1:14" ht="55.2" customHeight="1" x14ac:dyDescent="0.3">
      <c r="A6" s="34" t="s">
        <v>61</v>
      </c>
      <c r="B6" s="3" t="s">
        <v>23</v>
      </c>
      <c r="C6" s="35" t="s">
        <v>66</v>
      </c>
      <c r="D6" s="3" t="s">
        <v>18</v>
      </c>
      <c r="E6" s="35" t="s">
        <v>102</v>
      </c>
      <c r="F6" s="35" t="s">
        <v>103</v>
      </c>
      <c r="G6" s="35" t="s">
        <v>104</v>
      </c>
      <c r="H6" s="35" t="s">
        <v>105</v>
      </c>
      <c r="I6" s="35" t="s">
        <v>68</v>
      </c>
      <c r="J6" s="35" t="s">
        <v>106</v>
      </c>
      <c r="K6" s="3" t="str">
        <f>VLOOKUP(Table1[[#This Row],[Importance]],'Logic and Calculation'!$H$3:$J$12,3,FALSE)</f>
        <v>High</v>
      </c>
      <c r="L6" s="36">
        <v>8</v>
      </c>
      <c r="M6" s="3">
        <f>VLOOKUP(Table1[[#This Row],[Importance]],'Logic and Calculation'!$H$3:$J$12,2,FALSE)</f>
        <v>-13</v>
      </c>
      <c r="N6" s="37" t="s">
        <v>172</v>
      </c>
    </row>
    <row r="7" spans="1:14" ht="55.2" customHeight="1" x14ac:dyDescent="0.3">
      <c r="A7" s="34" t="s">
        <v>62</v>
      </c>
      <c r="B7" s="3" t="s">
        <v>24</v>
      </c>
      <c r="C7" s="35" t="s">
        <v>187</v>
      </c>
      <c r="D7" s="3" t="s">
        <v>18</v>
      </c>
      <c r="E7" s="35" t="s">
        <v>107</v>
      </c>
      <c r="F7" s="35" t="s">
        <v>108</v>
      </c>
      <c r="G7" s="35" t="s">
        <v>109</v>
      </c>
      <c r="H7" s="35" t="s">
        <v>110</v>
      </c>
      <c r="I7" s="35" t="s">
        <v>111</v>
      </c>
      <c r="J7" s="35" t="s">
        <v>112</v>
      </c>
      <c r="K7" s="3" t="str">
        <f>VLOOKUP(Table1[[#This Row],[Importance]],'Logic and Calculation'!$H$3:$J$12,3,FALSE)</f>
        <v>High</v>
      </c>
      <c r="L7" s="36">
        <v>8</v>
      </c>
      <c r="M7" s="3">
        <f>VLOOKUP(Table1[[#This Row],[Importance]],'Logic and Calculation'!$H$3:$J$12,2,FALSE)</f>
        <v>-13</v>
      </c>
      <c r="N7" s="37" t="s">
        <v>173</v>
      </c>
    </row>
    <row r="8" spans="1:14" ht="48" customHeight="1" x14ac:dyDescent="0.3">
      <c r="A8" s="34" t="s">
        <v>63</v>
      </c>
      <c r="B8" s="3" t="s">
        <v>25</v>
      </c>
      <c r="C8" s="35" t="s">
        <v>67</v>
      </c>
      <c r="D8" s="3" t="s">
        <v>18</v>
      </c>
      <c r="E8" s="35" t="s">
        <v>113</v>
      </c>
      <c r="F8" s="35" t="s">
        <v>114</v>
      </c>
      <c r="G8" s="35" t="s">
        <v>115</v>
      </c>
      <c r="H8" s="35" t="s">
        <v>116</v>
      </c>
      <c r="I8" s="35" t="s">
        <v>117</v>
      </c>
      <c r="J8" s="35" t="s">
        <v>118</v>
      </c>
      <c r="K8" s="3" t="str">
        <f>VLOOKUP(Table1[[#This Row],[Importance]],'Logic and Calculation'!$H$3:$J$12,3,FALSE)</f>
        <v>High</v>
      </c>
      <c r="L8" s="36">
        <v>9</v>
      </c>
      <c r="M8" s="3">
        <f>VLOOKUP(Table1[[#This Row],[Importance]],'Logic and Calculation'!$H$3:$J$12,2,FALSE)</f>
        <v>-15</v>
      </c>
      <c r="N8" s="37" t="s">
        <v>174</v>
      </c>
    </row>
    <row r="9" spans="1:14" ht="50.4" customHeight="1" x14ac:dyDescent="0.3">
      <c r="A9" s="38" t="s">
        <v>61</v>
      </c>
      <c r="B9" s="3" t="s">
        <v>26</v>
      </c>
      <c r="C9" s="29" t="s">
        <v>119</v>
      </c>
      <c r="D9" s="28" t="s">
        <v>18</v>
      </c>
      <c r="E9" s="29" t="s">
        <v>120</v>
      </c>
      <c r="F9" s="28" t="s">
        <v>121</v>
      </c>
      <c r="G9" s="28" t="s">
        <v>122</v>
      </c>
      <c r="H9" s="28" t="s">
        <v>123</v>
      </c>
      <c r="I9" s="28" t="s">
        <v>124</v>
      </c>
      <c r="J9" s="28" t="s">
        <v>125</v>
      </c>
      <c r="K9" s="3" t="str">
        <f>VLOOKUP(Table1[[#This Row],[Importance]],'Logic and Calculation'!$H$3:$J$12,3,FALSE)</f>
        <v>Medium</v>
      </c>
      <c r="L9" s="36">
        <v>6</v>
      </c>
      <c r="M9" s="3">
        <f>VLOOKUP(Table1[[#This Row],[Importance]],'Logic and Calculation'!$H$3:$J$12,2,FALSE)</f>
        <v>-9</v>
      </c>
      <c r="N9" s="37" t="s">
        <v>175</v>
      </c>
    </row>
    <row r="10" spans="1:14" ht="36" x14ac:dyDescent="0.3">
      <c r="A10" s="34" t="s">
        <v>63</v>
      </c>
      <c r="B10" s="3" t="s">
        <v>27</v>
      </c>
      <c r="C10" s="35" t="s">
        <v>126</v>
      </c>
      <c r="D10" s="28" t="s">
        <v>18</v>
      </c>
      <c r="E10" s="29" t="s">
        <v>127</v>
      </c>
      <c r="F10" s="28" t="s">
        <v>128</v>
      </c>
      <c r="G10" s="28" t="s">
        <v>129</v>
      </c>
      <c r="H10" s="28" t="s">
        <v>130</v>
      </c>
      <c r="I10" s="28" t="s">
        <v>131</v>
      </c>
      <c r="J10" s="28" t="s">
        <v>132</v>
      </c>
      <c r="K10" s="3" t="str">
        <f>VLOOKUP(Table1[[#This Row],[Importance]],'Logic and Calculation'!$H$3:$J$12,3,FALSE)</f>
        <v>Medium</v>
      </c>
      <c r="L10" s="36">
        <v>5</v>
      </c>
      <c r="M10" s="3">
        <f>VLOOKUP(Table1[[#This Row],[Importance]],'Logic and Calculation'!$H$3:$J$12,2,FALSE)</f>
        <v>-7</v>
      </c>
      <c r="N10" s="37" t="s">
        <v>176</v>
      </c>
    </row>
    <row r="11" spans="1:14" ht="36" x14ac:dyDescent="0.3">
      <c r="A11" s="38" t="s">
        <v>61</v>
      </c>
      <c r="B11" s="3" t="s">
        <v>28</v>
      </c>
      <c r="C11" s="29" t="s">
        <v>133</v>
      </c>
      <c r="D11" s="28" t="s">
        <v>18</v>
      </c>
      <c r="E11" s="29" t="s">
        <v>134</v>
      </c>
      <c r="F11" s="28" t="s">
        <v>135</v>
      </c>
      <c r="G11" s="28" t="s">
        <v>136</v>
      </c>
      <c r="H11" s="28" t="s">
        <v>137</v>
      </c>
      <c r="I11" s="28" t="s">
        <v>138</v>
      </c>
      <c r="J11" s="28" t="s">
        <v>139</v>
      </c>
      <c r="K11" s="3" t="str">
        <f>VLOOKUP(Table1[[#This Row],[Importance]],'Logic and Calculation'!$H$3:$J$12,3,FALSE)</f>
        <v>High</v>
      </c>
      <c r="L11" s="36">
        <v>9</v>
      </c>
      <c r="M11" s="3">
        <f>VLOOKUP(Table1[[#This Row],[Importance]],'Logic and Calculation'!$H$3:$J$12,2,FALSE)</f>
        <v>-15</v>
      </c>
      <c r="N11" s="37" t="s">
        <v>177</v>
      </c>
    </row>
    <row r="12" spans="1:14" ht="36" x14ac:dyDescent="0.3">
      <c r="A12" s="38" t="s">
        <v>60</v>
      </c>
      <c r="B12" s="3" t="s">
        <v>29</v>
      </c>
      <c r="C12" s="29" t="s">
        <v>140</v>
      </c>
      <c r="D12" s="28" t="s">
        <v>18</v>
      </c>
      <c r="E12" s="29" t="s">
        <v>141</v>
      </c>
      <c r="F12" s="28" t="s">
        <v>142</v>
      </c>
      <c r="G12" s="28" t="s">
        <v>143</v>
      </c>
      <c r="H12" s="28" t="s">
        <v>144</v>
      </c>
      <c r="I12" s="28" t="s">
        <v>145</v>
      </c>
      <c r="J12" s="28" t="s">
        <v>146</v>
      </c>
      <c r="K12" s="3" t="str">
        <f>VLOOKUP(Table1[[#This Row],[Importance]],'Logic and Calculation'!$H$3:$J$12,3,FALSE)</f>
        <v>Critical</v>
      </c>
      <c r="L12" s="36">
        <v>10</v>
      </c>
      <c r="M12" s="3">
        <f>VLOOKUP(Table1[[#This Row],[Importance]],'Logic and Calculation'!$H$3:$J$12,2,FALSE)</f>
        <v>-18</v>
      </c>
      <c r="N12" s="37" t="s">
        <v>178</v>
      </c>
    </row>
    <row r="13" spans="1:14" ht="36" x14ac:dyDescent="0.3">
      <c r="A13" s="38" t="s">
        <v>62</v>
      </c>
      <c r="B13" s="3" t="s">
        <v>30</v>
      </c>
      <c r="C13" s="29" t="s">
        <v>147</v>
      </c>
      <c r="D13" s="28" t="s">
        <v>18</v>
      </c>
      <c r="E13" s="29" t="s">
        <v>148</v>
      </c>
      <c r="F13" s="28" t="s">
        <v>149</v>
      </c>
      <c r="G13" s="28" t="s">
        <v>150</v>
      </c>
      <c r="H13" s="28" t="s">
        <v>151</v>
      </c>
      <c r="I13" s="28" t="s">
        <v>152</v>
      </c>
      <c r="J13" s="28" t="s">
        <v>153</v>
      </c>
      <c r="K13" s="3" t="str">
        <f>VLOOKUP(Table1[[#This Row],[Importance]],'Logic and Calculation'!$H$3:$J$12,3,FALSE)</f>
        <v>Medium</v>
      </c>
      <c r="L13" s="36">
        <v>6</v>
      </c>
      <c r="M13" s="3">
        <f>VLOOKUP(Table1[[#This Row],[Importance]],'Logic and Calculation'!$H$3:$J$12,2,FALSE)</f>
        <v>-9</v>
      </c>
      <c r="N13" s="37" t="s">
        <v>179</v>
      </c>
    </row>
    <row r="14" spans="1:14" ht="28.8" x14ac:dyDescent="0.3">
      <c r="A14" s="38" t="s">
        <v>154</v>
      </c>
      <c r="B14" s="3" t="s">
        <v>31</v>
      </c>
      <c r="C14" s="29" t="s">
        <v>155</v>
      </c>
      <c r="D14" s="28" t="s">
        <v>18</v>
      </c>
      <c r="E14" s="29" t="s">
        <v>156</v>
      </c>
      <c r="F14" s="28" t="s">
        <v>157</v>
      </c>
      <c r="G14" s="28" t="s">
        <v>158</v>
      </c>
      <c r="H14" s="28" t="s">
        <v>159</v>
      </c>
      <c r="I14" s="28" t="s">
        <v>160</v>
      </c>
      <c r="J14" s="28" t="s">
        <v>161</v>
      </c>
      <c r="K14" s="3" t="str">
        <f>VLOOKUP(Table1[[#This Row],[Importance]],'Logic and Calculation'!$H$3:$J$12,3,FALSE)</f>
        <v>Medium</v>
      </c>
      <c r="L14" s="36">
        <v>7</v>
      </c>
      <c r="M14" s="3">
        <f>VLOOKUP(Table1[[#This Row],[Importance]],'Logic and Calculation'!$H$3:$J$12,2,FALSE)</f>
        <v>-11</v>
      </c>
      <c r="N14" s="37" t="s">
        <v>180</v>
      </c>
    </row>
    <row r="15" spans="1:14" ht="28.8" x14ac:dyDescent="0.3">
      <c r="A15" s="38" t="s">
        <v>154</v>
      </c>
      <c r="B15" s="3" t="s">
        <v>77</v>
      </c>
      <c r="C15" s="29" t="s">
        <v>162</v>
      </c>
      <c r="D15" s="28" t="s">
        <v>18</v>
      </c>
      <c r="E15" s="29" t="s">
        <v>163</v>
      </c>
      <c r="F15" s="28" t="s">
        <v>164</v>
      </c>
      <c r="G15" s="28" t="s">
        <v>165</v>
      </c>
      <c r="H15" s="28" t="s">
        <v>166</v>
      </c>
      <c r="I15" s="28" t="s">
        <v>167</v>
      </c>
      <c r="J15" s="28" t="s">
        <v>161</v>
      </c>
      <c r="K15" s="3" t="str">
        <f>VLOOKUP(Table1[[#This Row],[Importance]],'Logic and Calculation'!$H$3:$J$12,3,FALSE)</f>
        <v>High</v>
      </c>
      <c r="L15" s="36">
        <v>8</v>
      </c>
      <c r="M15" s="3">
        <f>VLOOKUP(Table1[[#This Row],[Importance]],'Logic and Calculation'!$H$3:$J$12,2,FALSE)</f>
        <v>-13</v>
      </c>
      <c r="N15" s="37" t="s">
        <v>181</v>
      </c>
    </row>
  </sheetData>
  <phoneticPr fontId="15" type="noConversion"/>
  <conditionalFormatting sqref="D2:D15">
    <cfRule type="cellIs" dxfId="2" priority="4" stopIfTrue="1" operator="equal">
      <formula>"OK"</formula>
    </cfRule>
    <cfRule type="cellIs" dxfId="1" priority="5" stopIfTrue="1" operator="equal">
      <formula>"PARTIAL"</formula>
    </cfRule>
    <cfRule type="cellIs" dxfId="0" priority="6" stopIfTrue="1" operator="equal">
      <formula>"FLAG"</formula>
    </cfRule>
  </conditionalFormatting>
  <dataValidations count="1">
    <dataValidation type="list" allowBlank="1" sqref="D2:D15" xr:uid="{00000000-0002-0000-0100-000000000000}">
      <formula1>"OK,PARTIAL,FLAG"</formula1>
    </dataValidation>
  </dataValidations>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23"/>
  <sheetViews>
    <sheetView workbookViewId="0">
      <pane ySplit="7" topLeftCell="A8" activePane="bottomLeft" state="frozen"/>
      <selection pane="bottomLeft" activeCell="C27" sqref="C27"/>
    </sheetView>
  </sheetViews>
  <sheetFormatPr defaultRowHeight="14.4" x14ac:dyDescent="0.3"/>
  <cols>
    <col min="1" max="1" width="25"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15.88671875" customWidth="1"/>
  </cols>
  <sheetData>
    <row r="1" spans="1:13" x14ac:dyDescent="0.3">
      <c r="A1" s="2" t="s">
        <v>2</v>
      </c>
      <c r="B1" s="2" t="s">
        <v>8</v>
      </c>
      <c r="C1" s="2" t="s">
        <v>3</v>
      </c>
      <c r="D1" s="2" t="s">
        <v>9</v>
      </c>
      <c r="E1" s="2" t="s">
        <v>15</v>
      </c>
      <c r="F1" s="2" t="s">
        <v>32</v>
      </c>
    </row>
    <row r="2" spans="1:13" x14ac:dyDescent="0.3">
      <c r="A2" t="s">
        <v>33</v>
      </c>
      <c r="B2">
        <v>100</v>
      </c>
      <c r="D2" t="s">
        <v>34</v>
      </c>
      <c r="H2" s="4" t="s">
        <v>14</v>
      </c>
      <c r="I2" s="4" t="s">
        <v>35</v>
      </c>
      <c r="J2" s="4" t="s">
        <v>36</v>
      </c>
      <c r="L2" s="12" t="s">
        <v>69</v>
      </c>
      <c r="M2" s="12" t="s">
        <v>37</v>
      </c>
    </row>
    <row r="3" spans="1:13" x14ac:dyDescent="0.3">
      <c r="A3" t="s">
        <v>38</v>
      </c>
      <c r="B3" t="e">
        <f>SUM(F8:F954)</f>
        <v>#REF!</v>
      </c>
      <c r="D3" t="s">
        <v>75</v>
      </c>
      <c r="H3">
        <v>10</v>
      </c>
      <c r="I3">
        <v>-18</v>
      </c>
      <c r="J3" t="s">
        <v>39</v>
      </c>
      <c r="L3" t="s">
        <v>189</v>
      </c>
      <c r="M3" t="s">
        <v>72</v>
      </c>
    </row>
    <row r="4" spans="1:13" x14ac:dyDescent="0.3">
      <c r="A4" t="s">
        <v>40</v>
      </c>
      <c r="B4" t="e">
        <f>B2+B3</f>
        <v>#REF!</v>
      </c>
      <c r="D4" t="s">
        <v>52</v>
      </c>
      <c r="H4">
        <v>9</v>
      </c>
      <c r="I4">
        <v>-15</v>
      </c>
      <c r="J4" t="s">
        <v>41</v>
      </c>
      <c r="L4" t="s">
        <v>51</v>
      </c>
      <c r="M4" t="s">
        <v>73</v>
      </c>
    </row>
    <row r="5" spans="1:13" x14ac:dyDescent="0.3">
      <c r="A5" t="s">
        <v>69</v>
      </c>
      <c r="B5" t="e">
        <f>IF(B4&gt;=75,"Compliant ",IF(AND(B4&lt;=74,B4&gt;=40),"Needs Attention","Not Compliant"))</f>
        <v>#REF!</v>
      </c>
      <c r="D5" t="s">
        <v>76</v>
      </c>
      <c r="H5">
        <v>8</v>
      </c>
      <c r="I5">
        <v>-13</v>
      </c>
      <c r="J5" t="s">
        <v>41</v>
      </c>
      <c r="L5" t="s">
        <v>74</v>
      </c>
      <c r="M5" t="s">
        <v>188</v>
      </c>
    </row>
    <row r="6" spans="1:13" x14ac:dyDescent="0.3">
      <c r="A6" t="s">
        <v>42</v>
      </c>
      <c r="B6" t="s">
        <v>43</v>
      </c>
      <c r="H6">
        <v>7</v>
      </c>
      <c r="I6">
        <v>-11</v>
      </c>
      <c r="J6" t="s">
        <v>19</v>
      </c>
    </row>
    <row r="7" spans="1:13" x14ac:dyDescent="0.3">
      <c r="H7">
        <v>6</v>
      </c>
      <c r="I7">
        <v>-9</v>
      </c>
      <c r="J7" t="s">
        <v>19</v>
      </c>
    </row>
    <row r="8" spans="1:13" x14ac:dyDescent="0.3">
      <c r="A8" t="str">
        <f>'Account Mastery_Reference'!B2</f>
        <v>C001</v>
      </c>
      <c r="B8" t="str">
        <f>'Account Mastery_Reference'!A2</f>
        <v>Client Objective &amp; Success Criteria</v>
      </c>
      <c r="C8" t="str">
        <f>'Account Mastery_Reference'!C2</f>
        <v>Objective Clearly Defined</v>
      </c>
      <c r="D8" t="str">
        <f>'Account Mastery_Reference'!D2</f>
        <v>OK</v>
      </c>
      <c r="E8">
        <f>'Account Mastery_Reference'!M2</f>
        <v>-18</v>
      </c>
      <c r="F8">
        <f t="shared" ref="F8" si="0">IF(D8="FLAG",E8,IF(D8="PARTIAL",E8*0.5,0))</f>
        <v>0</v>
      </c>
      <c r="H8">
        <v>5</v>
      </c>
      <c r="I8">
        <v>-7</v>
      </c>
      <c r="J8" t="s">
        <v>19</v>
      </c>
    </row>
    <row r="9" spans="1:13" x14ac:dyDescent="0.3">
      <c r="A9" t="str">
        <f>'Account Mastery_Reference'!B3</f>
        <v>C002</v>
      </c>
      <c r="B9" t="str">
        <f>'Account Mastery_Reference'!A3</f>
        <v>Client Objective &amp; Success Criteria</v>
      </c>
      <c r="C9" t="str">
        <f>'Account Mastery_Reference'!C3</f>
        <v>Objective vs Near-Term Alignment</v>
      </c>
      <c r="D9" t="str">
        <f>'Account Mastery_Reference'!D3</f>
        <v>OK</v>
      </c>
      <c r="E9">
        <f>'Account Mastery_Reference'!M3</f>
        <v>-13</v>
      </c>
      <c r="F9">
        <f t="shared" ref="F9:F21" si="1">IF(D9="FLAG",E9,IF(D9="PARTIAL",E9*0.5,0))</f>
        <v>0</v>
      </c>
      <c r="H9">
        <v>4</v>
      </c>
      <c r="I9">
        <v>-5</v>
      </c>
      <c r="J9" t="s">
        <v>44</v>
      </c>
    </row>
    <row r="10" spans="1:13" x14ac:dyDescent="0.3">
      <c r="A10" t="str">
        <f>'Account Mastery_Reference'!B4</f>
        <v>C003</v>
      </c>
      <c r="B10" t="str">
        <f>'Account Mastery_Reference'!A4</f>
        <v>Account Context Understanding</v>
      </c>
      <c r="C10" t="str">
        <f>'Account Mastery_Reference'!C4</f>
        <v>Account Challenges Documented</v>
      </c>
      <c r="D10" t="str">
        <f>'Account Mastery_Reference'!D4</f>
        <v>OK</v>
      </c>
      <c r="E10">
        <f>'Account Mastery_Reference'!M4</f>
        <v>-15</v>
      </c>
      <c r="F10">
        <f t="shared" si="1"/>
        <v>0</v>
      </c>
      <c r="H10">
        <v>3</v>
      </c>
      <c r="I10">
        <v>-3</v>
      </c>
      <c r="J10" t="s">
        <v>44</v>
      </c>
    </row>
    <row r="11" spans="1:13" x14ac:dyDescent="0.3">
      <c r="A11" t="str">
        <f>'Account Mastery_Reference'!B5</f>
        <v>C004</v>
      </c>
      <c r="B11" t="str">
        <f>'Account Mastery_Reference'!A5</f>
        <v>Account Context Understanding</v>
      </c>
      <c r="C11" t="str">
        <f>'Account Mastery_Reference'!C5</f>
        <v>Seasonality Awareness</v>
      </c>
      <c r="D11" t="str">
        <f>'Account Mastery_Reference'!D5</f>
        <v>OK</v>
      </c>
      <c r="E11">
        <f>'Account Mastery_Reference'!M5</f>
        <v>-9</v>
      </c>
      <c r="F11">
        <f t="shared" si="1"/>
        <v>0</v>
      </c>
      <c r="H11">
        <v>2</v>
      </c>
      <c r="I11">
        <v>-2</v>
      </c>
      <c r="J11" t="s">
        <v>45</v>
      </c>
    </row>
    <row r="12" spans="1:13" x14ac:dyDescent="0.3">
      <c r="A12" t="str">
        <f>'Account Mastery_Reference'!B6</f>
        <v>C005</v>
      </c>
      <c r="B12" t="str">
        <f>'Account Mastery_Reference'!A6</f>
        <v>Account Context Understanding</v>
      </c>
      <c r="C12" t="str">
        <f>'Account Mastery_Reference'!C6</f>
        <v>Operational Constraints Awareness</v>
      </c>
      <c r="D12" t="str">
        <f>'Account Mastery_Reference'!D6</f>
        <v>OK</v>
      </c>
      <c r="E12">
        <f>'Account Mastery_Reference'!M6</f>
        <v>-13</v>
      </c>
      <c r="F12">
        <f t="shared" si="1"/>
        <v>0</v>
      </c>
      <c r="H12">
        <v>1</v>
      </c>
      <c r="I12">
        <v>0</v>
      </c>
      <c r="J12" t="s">
        <v>45</v>
      </c>
    </row>
    <row r="13" spans="1:13" x14ac:dyDescent="0.3">
      <c r="A13" t="str">
        <f>'Account Mastery_Reference'!B7</f>
        <v>C006</v>
      </c>
      <c r="B13" t="str">
        <f>'Account Mastery_Reference'!A7</f>
        <v>Strategy &amp; Journey Ownership</v>
      </c>
      <c r="C13" t="str">
        <f>'Account Mastery_Reference'!C7</f>
        <v>Client Journey Map</v>
      </c>
      <c r="D13" t="str">
        <f>'Account Mastery_Reference'!D7</f>
        <v>OK</v>
      </c>
      <c r="E13">
        <f>'Account Mastery_Reference'!M7</f>
        <v>-13</v>
      </c>
      <c r="F13">
        <f t="shared" si="1"/>
        <v>0</v>
      </c>
    </row>
    <row r="14" spans="1:13" x14ac:dyDescent="0.3">
      <c r="A14" t="e">
        <f>'Account Mastery_Reference'!#REF!</f>
        <v>#REF!</v>
      </c>
      <c r="B14" t="e">
        <f>'Account Mastery_Reference'!#REF!</f>
        <v>#REF!</v>
      </c>
      <c r="C14" t="e">
        <f>'Account Mastery_Reference'!#REF!</f>
        <v>#REF!</v>
      </c>
      <c r="D14" t="e">
        <f>'Account Mastery_Reference'!#REF!</f>
        <v>#REF!</v>
      </c>
      <c r="E14" t="e">
        <f>'Account Mastery_Reference'!#REF!</f>
        <v>#REF!</v>
      </c>
      <c r="F14" t="e">
        <f t="shared" si="1"/>
        <v>#REF!</v>
      </c>
    </row>
    <row r="15" spans="1:13" x14ac:dyDescent="0.3">
      <c r="A15" t="str">
        <f>'Account Mastery_Reference'!B8</f>
        <v>C007</v>
      </c>
      <c r="B15" t="str">
        <f>'Account Mastery_Reference'!A8</f>
        <v>Client Engagement &amp; Communication</v>
      </c>
      <c r="C15" t="str">
        <f>'Account Mastery_Reference'!C8</f>
        <v>Narrative Consistency</v>
      </c>
      <c r="D15" t="str">
        <f>'Account Mastery_Reference'!D8</f>
        <v>OK</v>
      </c>
      <c r="E15">
        <f>'Account Mastery_Reference'!M8</f>
        <v>-15</v>
      </c>
      <c r="F15">
        <f t="shared" si="1"/>
        <v>0</v>
      </c>
    </row>
    <row r="16" spans="1:13" x14ac:dyDescent="0.3">
      <c r="A16" t="str">
        <f>'Account Mastery_Reference'!B9</f>
        <v>C008</v>
      </c>
      <c r="B16" t="str">
        <f>'Account Mastery_Reference'!A9</f>
        <v>Account Context Understanding</v>
      </c>
      <c r="C16" t="str">
        <f>'Account Mastery_Reference'!C9</f>
        <v>Sales Concentration Matches Account Story</v>
      </c>
      <c r="D16" t="str">
        <f>'Account Mastery_Reference'!D9</f>
        <v>OK</v>
      </c>
      <c r="E16">
        <f>'Account Mastery_Reference'!M9</f>
        <v>-9</v>
      </c>
      <c r="F16">
        <f t="shared" si="1"/>
        <v>0</v>
      </c>
    </row>
    <row r="17" spans="1:6" x14ac:dyDescent="0.3">
      <c r="A17" t="e">
        <f>'Account Mastery_Reference'!#REF!</f>
        <v>#REF!</v>
      </c>
      <c r="B17" t="e">
        <f>'Account Mastery_Reference'!#REF!</f>
        <v>#REF!</v>
      </c>
      <c r="C17" t="e">
        <f>'Account Mastery_Reference'!#REF!</f>
        <v>#REF!</v>
      </c>
      <c r="D17" t="e">
        <f>'Account Mastery_Reference'!#REF!</f>
        <v>#REF!</v>
      </c>
      <c r="E17" t="e">
        <f>'Account Mastery_Reference'!#REF!</f>
        <v>#REF!</v>
      </c>
      <c r="F17" t="e">
        <f t="shared" si="1"/>
        <v>#REF!</v>
      </c>
    </row>
    <row r="18" spans="1:6" x14ac:dyDescent="0.3">
      <c r="A18" t="str">
        <f>'Account Mastery_Reference'!B10</f>
        <v>C009</v>
      </c>
      <c r="B18" t="str">
        <f>'Account Mastery_Reference'!A10</f>
        <v>Client Engagement &amp; Communication</v>
      </c>
      <c r="C18" t="str">
        <f>'Account Mastery_Reference'!C10</f>
        <v>Client Contact Cadence (last 6 months)</v>
      </c>
      <c r="D18" t="str">
        <f>'Account Mastery_Reference'!D10</f>
        <v>OK</v>
      </c>
      <c r="E18">
        <f>'Account Mastery_Reference'!M10</f>
        <v>-7</v>
      </c>
      <c r="F18">
        <f t="shared" si="1"/>
        <v>0</v>
      </c>
    </row>
    <row r="19" spans="1:6" x14ac:dyDescent="0.3">
      <c r="A19" t="str">
        <f>'Account Mastery_Reference'!B11</f>
        <v>C010</v>
      </c>
      <c r="B19" t="str">
        <f>'Account Mastery_Reference'!A11</f>
        <v>Account Context Understanding</v>
      </c>
      <c r="C19" t="str">
        <f>'Account Mastery_Reference'!C11</f>
        <v>Customizations Documented &amp; Justified</v>
      </c>
      <c r="D19" t="str">
        <f>'Account Mastery_Reference'!D11</f>
        <v>OK</v>
      </c>
      <c r="E19">
        <f>'Account Mastery_Reference'!M11</f>
        <v>-15</v>
      </c>
      <c r="F19">
        <f t="shared" si="1"/>
        <v>0</v>
      </c>
    </row>
    <row r="20" spans="1:6" x14ac:dyDescent="0.3">
      <c r="A20" t="str">
        <f>'Account Mastery_Reference'!B12</f>
        <v>C011</v>
      </c>
      <c r="B20" t="str">
        <f>'Account Mastery_Reference'!A12</f>
        <v>Client Objective &amp; Success Criteria</v>
      </c>
      <c r="C20" t="str">
        <f>'Account Mastery_Reference'!C12</f>
        <v>Target Spend / KPI Targets Documented</v>
      </c>
      <c r="D20" t="str">
        <f>'Account Mastery_Reference'!D12</f>
        <v>OK</v>
      </c>
      <c r="E20">
        <f>'Account Mastery_Reference'!M12</f>
        <v>-18</v>
      </c>
      <c r="F20">
        <f t="shared" si="1"/>
        <v>0</v>
      </c>
    </row>
    <row r="21" spans="1:6" x14ac:dyDescent="0.3">
      <c r="A21" t="str">
        <f>'Account Mastery_Reference'!B13</f>
        <v>C012</v>
      </c>
      <c r="B21" t="str">
        <f>'Account Mastery_Reference'!A13</f>
        <v>Strategy &amp; Journey Ownership</v>
      </c>
      <c r="C21" t="str">
        <f>'Account Mastery_Reference'!C13</f>
        <v>Tagging / Segmentation Logic Clear</v>
      </c>
      <c r="D21" t="str">
        <f>'Account Mastery_Reference'!D13</f>
        <v>OK</v>
      </c>
      <c r="E21">
        <f>'Account Mastery_Reference'!M13</f>
        <v>-9</v>
      </c>
      <c r="F21">
        <f t="shared" si="1"/>
        <v>0</v>
      </c>
    </row>
    <row r="22" spans="1:6" x14ac:dyDescent="0.3">
      <c r="A22" t="str">
        <f>'Account Mastery_Reference'!B14</f>
        <v>C013</v>
      </c>
      <c r="B22" t="str">
        <f>'Account Mastery_Reference'!A14</f>
        <v>On Call</v>
      </c>
      <c r="C22" t="str">
        <f>'Account Mastery_Reference'!C14</f>
        <v>On-Call Interaction Quality</v>
      </c>
      <c r="D22" t="str">
        <f>'Account Mastery_Reference'!D14</f>
        <v>OK</v>
      </c>
      <c r="E22">
        <f>'Account Mastery_Reference'!M14</f>
        <v>-11</v>
      </c>
      <c r="F22">
        <f t="shared" ref="F22:F23" si="2">IF(D22="FLAG",E22,IF(D22="PARTIAL",E22*0.5,0))</f>
        <v>0</v>
      </c>
    </row>
    <row r="23" spans="1:6" x14ac:dyDescent="0.3">
      <c r="A23" t="str">
        <f>'Account Mastery_Reference'!B15</f>
        <v>C014</v>
      </c>
      <c r="B23" t="str">
        <f>'Account Mastery_Reference'!A15</f>
        <v>On Call</v>
      </c>
      <c r="C23" t="str">
        <f>'Account Mastery_Reference'!C15</f>
        <v>On-Call Explanation Quality</v>
      </c>
      <c r="D23" t="str">
        <f>'Account Mastery_Reference'!D15</f>
        <v>OK</v>
      </c>
      <c r="E23">
        <f>'Account Mastery_Reference'!M15</f>
        <v>-13</v>
      </c>
      <c r="F23">
        <f t="shared" si="2"/>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Account Mastery_Analysis</vt:lpstr>
      <vt:lpstr>Account Mastery_Reference</vt:lpstr>
      <vt:lpstr>Logic and Calculation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2026-04-07T18:47:05Z</dcterms:modified>
</cp:coreProperties>
</file>